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tro-planning Gantt" sheetId="1" state="visible" r:id="rId3"/>
    <sheet name="Suivi KPI" sheetId="2" state="visible" r:id="rId4"/>
    <sheet name="Matrice M+3" sheetId="3" state="visible" r:id="rId5"/>
    <sheet name="Backlog" sheetId="4" state="visible" r:id="rId6"/>
    <sheet name="Prospection B2B" sheetId="5" state="visible" r:id="rId7"/>
    <sheet name="Runbook incidents" sheetId="6" state="visible" r:id="rId8"/>
    <sheet name="Continuité &amp; accès" sheetId="7" state="visible" r:id="rId9"/>
    <sheet name="Non-régression" sheetId="8" state="visible" r:id="rId10"/>
    <sheet name="Change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<sst xmlns="http://schemas.openxmlformats.org/spreadsheetml/2006/main" count="383" uniqueCount="315">
  <si>
    <t xml:space="preserve">RÉTRO-PLANNING [NOM DU PROJET] — 90 jours vers la revue de décision M+3</t>
  </si>
  <si>
    <t xml:space="preserve">Ancré sur le jalon final : [vendredi JJ/MM/AAAA]. Cellules jaunes = à adapter. Renseignez la date de démarrage (un lundi) en B4 : les en-têtes de semaines S1–S13 se recalculent automatiquement. La durée de chaque tâche se calcule depuis Début/Fin. Coloriez à la main les cellules S1–S13 pour matérialiser les barres du Gantt.</t>
  </si>
  <si>
    <t xml:space="preserve">Phase 0 — [Positionnement &amp; offre]   ·   Phase 1 — [Production &amp; preuve]   ·   Phase 2 — [Distribution]   ·   Phase 3 — [Conversion &amp; rétention]   ·   Phase 4 — [Développement B2B]   ·   Phase 5 — Pilotage &amp; jalons   ·   ◆ = jalon</t>
  </si>
  <si>
    <t xml:space="preserve">Date de démarrage (lundi) :</t>
  </si>
  <si>
    <t xml:space="preserve">← à adapter : premier lundi du rétro-planning</t>
  </si>
  <si>
    <t xml:space="preserve">ID</t>
  </si>
  <si>
    <t xml:space="preserve">Phase</t>
  </si>
  <si>
    <t xml:space="preserve">Tâche</t>
  </si>
  <si>
    <t xml:space="preserve">Livrable / critère de réussite</t>
  </si>
  <si>
    <t xml:space="preserve">Dépend de</t>
  </si>
  <si>
    <t xml:space="preserve">Début</t>
  </si>
  <si>
    <t xml:space="preserve">Fin</t>
  </si>
  <si>
    <t xml:space="preserve">Durée (j)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</si>
  <si>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</si>
  <si>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</si>
  <si>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</si>
  <si>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</si>
  <si>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</si>
  <si>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</si>
  <si>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</si>
  <si>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</si>
  <si>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</si>
  <si>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</si>
  <si>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</si>
  <si>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</si>
  <si>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</si>
  <si>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PHASE 0 — [POSITIONNEMENT &amp; OFFRE]</t>
  </si>
  <si>
    <t xml:space="preserve">EX. — Réécrire la page d'accueil pour la cible retenue (remplacez cette ligne)</t>
  </si>
  <si>
    <t xml:space="preserve">Nouvelle page en ligne, promesse claire affichée</t>
  </si>
  <si>
    <t xml:space="preserve">—</t>
  </si>
  <si>
    <t xml:space="preserve">PHASE 1 — [PRODUCTION &amp; PREUVE]</t>
  </si>
  <si>
    <t xml:space="preserve">PHASE 2 — [DISTRIBUTION]</t>
  </si>
  <si>
    <t xml:space="preserve">PHASE 3 — [CONVERSION &amp; RÉTENTION]</t>
  </si>
  <si>
    <t xml:space="preserve">PHASE 4 — [DÉVELOPPEMENT B2B]</t>
  </si>
  <si>
    <t xml:space="preserve">PHASE 5 — PILOTAGE &amp; JALONS</t>
  </si>
  <si>
    <t xml:space="preserve">Marquez chaque jalon d'un ◆ dans la colonne de semaine correspondante. Ajoutez vos lignes librement ; la formule Durée se recopie vers le bas (poignée de recopie).</t>
  </si>
  <si>
    <t xml:space="preserve">SUIVI KPI HEBDOMADAIRE — rituel du [vendredi 17 h]</t>
  </si>
  <si>
    <t xml:space="preserve">Remplissez les cellules jaunes chaque semaine. Cibles = votre dossier stratégique — adaptez les valeurs entre crochets. Colonne S1 : exemple fictif à remplacer. Pourcentages saisis en fraction (0,45 = 45 %). Si votre mesure d'audience est soumise au consentement (RGPD/CNIL) : mesurez l'ouverture sur le seul segment consentant (notez sa taille) et faites des clics le KPI d'engagement principal.</t>
  </si>
  <si>
    <t xml:space="preserve">KPI</t>
  </si>
  <si>
    <t xml:space="preserve">Cible</t>
  </si>
  <si>
    <t xml:space="preserve">Nouveaux inscrits gratuits / semaine</t>
  </si>
  <si>
    <t xml:space="preserve">≥ [50]</t>
  </si>
  <si>
    <t xml:space="preserve">Total base gratuite (cumul)</t>
  </si>
  <si>
    <t xml:space="preserve">≥ [1 000] à M+3</t>
  </si>
  <si>
    <t xml:space="preserve">Taux d'ouverture [newsletter] — segment consentant uniquement</t>
  </si>
  <si>
    <t xml:space="preserve">≥ [45 %]</t>
  </si>
  <si>
    <t xml:space="preserve">Taux de clics du [livrable] (KPI engagement principal)</t>
  </si>
  <si>
    <t xml:space="preserve">tendance stable / croissante</t>
  </si>
  <si>
    <t xml:space="preserve">Conversion gratuit → payant (cohorte 30 j)</t>
  </si>
  <si>
    <t xml:space="preserve">≥ [2 %]</t>
  </si>
  <si>
    <t xml:space="preserve">Clients payants actifs</t>
  </si>
  <si>
    <t xml:space="preserve">≥ [40] à M+3</t>
  </si>
  <si>
    <t xml:space="preserve">dont formules annuelles</t>
  </si>
  <si>
    <t xml:space="preserve">part croissante</t>
  </si>
  <si>
    <t xml:space="preserve">Churn mensuel</t>
  </si>
  <si>
    <t xml:space="preserve">≤ [8 %]</t>
  </si>
  <si>
    <t xml:space="preserve">Dépense publicitaire (semaine, €)</t>
  </si>
  <si>
    <t xml:space="preserve">≤ [125] €/sem (plafond [500] €/mois)</t>
  </si>
  <si>
    <t xml:space="preserve">CAC constaté (€/client acquis)</t>
  </si>
  <si>
    <t xml:space="preserve">≤ [150] € sinon pause du canal</t>
  </si>
  <si>
    <t xml:space="preserve">Publications [réseau social] (semaine)</t>
  </si>
  <si>
    <t xml:space="preserve">[5]</t>
  </si>
  <si>
    <t xml:space="preserve">Conversations B2B réalisées (cumul)</t>
  </si>
  <si>
    <t xml:space="preserve">≥ [10] à M+3</t>
  </si>
  <si>
    <t xml:space="preserve">MRR (€)</t>
  </si>
  <si>
    <t xml:space="preserve">≥ [1 100] € à M+3</t>
  </si>
  <si>
    <t xml:space="preserve">Légende : cellules jaunes = à remplir chaque semaine (texte bleu = saisie). Colonne S1 = exemple fictif à remplacer. Ajoutez ou supprimez des lignes de KPI selon votre modèle — jamais plus de 15 : un tableau de bord qui déborde n'est plus lu.</t>
  </si>
  <si>
    <t xml:space="preserve">MATRICE DE DÉCISION — REVUE DU [VENDREDI JJ/MM/AAAA]</t>
  </si>
  <si>
    <t xml:space="preserve">Remplissez la colonne « Constaté » (jaune) le jour de la revue ; la décision se lit ligne à ligne selon les seuils de votre dossier stratégique. Adaptez les critères et seuils entre crochets à votre projet dès la création du classeur — les fixer à froid, avant les résultats, est précisément ce qui rend la revue honnête.</t>
  </si>
  <si>
    <t xml:space="preserve">Critère</t>
  </si>
  <si>
    <t xml:space="preserve">Continuer option [A]</t>
  </si>
  <si>
    <t xml:space="preserve">Basculer option [B] (ex. pivot B2B)</t>
  </si>
  <si>
    <t xml:space="preserve">Geler / arrêter</t>
  </si>
  <si>
    <t xml:space="preserve">Constaté le [JJ/MM]</t>
  </si>
  <si>
    <t xml:space="preserve">Inscrits gratuits / mois (moyenne des dernières semaines)</t>
  </si>
  <si>
    <t xml:space="preserve">&gt; [200]</t>
  </si>
  <si>
    <t xml:space="preserve">&lt; [100] mais intérêt B2B</t>
  </si>
  <si>
    <t xml:space="preserve">&lt; [50] et zéro signal</t>
  </si>
  <si>
    <t xml:space="preserve">Conversion gratuit → payant</t>
  </si>
  <si>
    <t xml:space="preserve">&gt; [2 %]</t>
  </si>
  <si>
    <t xml:space="preserve">&lt; [2 %]</t>
  </si>
  <si>
    <t xml:space="preserve">&gt; [40]</t>
  </si>
  <si>
    <t xml:space="preserve">[10–40]</t>
  </si>
  <si>
    <t xml:space="preserve">&lt; [10]</t>
  </si>
  <si>
    <t xml:space="preserve">Signaux B2B sérieux (démos, demandes white-label)</t>
  </si>
  <si>
    <t xml:space="preserve">indifférent</t>
  </si>
  <si>
    <t xml:space="preserve">≥ [2]</t>
  </si>
  <si>
    <t xml:space="preserve">0</t>
  </si>
  <si>
    <t xml:space="preserve">[Critère supplémentaire propre à votre projet]</t>
  </si>
  <si>
    <t xml:space="preserve">[seuil]</t>
  </si>
  <si>
    <t xml:space="preserve">Règle de bascule (à écrire noir sur blanc dès maintenant) : [ex. si conversion &lt; 2 % mais ≥ 2 prospects B2B intéressés → basculer option B sans état d'âme. Une infrastructure d'automatisation déjà construite rend le pivot presque gratuit.]</t>
  </si>
  <si>
    <t xml:space="preserve">BACKLOG UNIQUE — règle : rien ne se fait qui ne figure pas ici</t>
  </si>
  <si>
    <t xml:space="preserve">P1 = bloque revenus/fiabilité · P2 = important sous 30 j · P3 = plus tard. Ajoutez chaque nouvelle idée EN BAS, priorisez lors de la revue KPI hebdomadaire. Statuts : À faire / En cours / Fait / Abandonné. La ligne EX. montre le format attendu — remplacez-la.</t>
  </si>
  <si>
    <t xml:space="preserve">Prio</t>
  </si>
  <si>
    <t xml:space="preserve">Catégorie</t>
  </si>
  <si>
    <t xml:space="preserve">Origine</t>
  </si>
  <si>
    <t xml:space="preserve">Effort</t>
  </si>
  <si>
    <t xml:space="preserve">Statut</t>
  </si>
  <si>
    <t xml:space="preserve">Échéance</t>
  </si>
  <si>
    <t xml:space="preserve">Notes</t>
  </si>
  <si>
    <t xml:space="preserve">EX.</t>
  </si>
  <si>
    <t xml:space="preserve">P1</t>
  </si>
  <si>
    <t xml:space="preserve">Fiabilité</t>
  </si>
  <si>
    <t xml:space="preserve">Mettre en place un monitoring externe de disponibilité (2 moniteurs : site + outil d'automatisation, alertes e-mail)</t>
  </si>
  <si>
    <t xml:space="preserve">Revue outils</t>
  </si>
  <si>
    <t xml:space="preserve">15 min</t>
  </si>
  <si>
    <t xml:space="preserve">À faire</t>
  </si>
  <si>
    <t xml:space="preserve">24/07/26</t>
  </si>
  <si>
    <t xml:space="preserve">Ferme l'angle mort du monitoring auto-référencé</t>
  </si>
  <si>
    <t xml:space="preserve">Colonne Statut : menu déroulant (À faire / En cours / Fait / Abandonné). Colonne Prio : menu déroulant P1/P2/P3. Catégories suggérées : Marketing · Produit · Fiabilité · Conformité · Distribution · Mesure · Technique · Coûts · Continuité · B2B.</t>
  </si>
  <si>
    <t xml:space="preserve">PROSPECTION B2B — [30] cibles, 1 e-mail personnalisé par jour ouvré</t>
  </si>
  <si>
    <t xml:space="preserve">Sources : [annuaires professionnels, LinkedIn, recommandations]. Offre pilote : [ex. 3 mois gratuits contre un retour mensuel de 30 min]. Relance unique à J+7 si sans réponse. Les compteurs ci-dessous se calculent automatiquement depuis la colonne Statut et alimentent la matrice M+3. La ligne EX. montre le format attendu — remplacez-la.</t>
  </si>
  <si>
    <t xml:space="preserve">Contacts envoyés</t>
  </si>
  <si>
    <t xml:space="preserve">Cible : [30]</t>
  </si>
  <si>
    <t xml:space="preserve">Conversations réalisées</t>
  </si>
  <si>
    <t xml:space="preserve">Cible : ≥ [10] (M+3)</t>
  </si>
  <si>
    <t xml:space="preserve">Pilotes actifs</t>
  </si>
  <si>
    <t xml:space="preserve">Cible : ≥ [3] (M+3)</t>
  </si>
  <si>
    <t xml:space="preserve">Signaux [offre premium] / white-label</t>
  </si>
  <si>
    <t xml:space="preserve">Cible : ≥ [2] → pivot possible</t>
  </si>
  <si>
    <t xml:space="preserve">N°</t>
  </si>
  <si>
    <t xml:space="preserve">Organisation</t>
  </si>
  <si>
    <t xml:space="preserve">Contact (nom, fonction)</t>
  </si>
  <si>
    <t xml:space="preserve">E-mail / LinkedIn</t>
  </si>
  <si>
    <t xml:space="preserve">Source</t>
  </si>
  <si>
    <t xml:space="preserve">1er envoi</t>
  </si>
  <si>
    <t xml:space="preserve">Relance J+7</t>
  </si>
  <si>
    <t xml:space="preserve">Signal ?</t>
  </si>
  <si>
    <t xml:space="preserve">Prochaine action</t>
  </si>
  <si>
    <t xml:space="preserve">Notes (verbatims, objections)</t>
  </si>
  <si>
    <t xml:space="preserve">[Organisation Exemple (Ville)]</t>
  </si>
  <si>
    <t xml:space="preserve">[Prénom Nom, fonction]</t>
  </si>
  <si>
    <t xml:space="preserve">linkedin.com/in/exemple</t>
  </si>
  <si>
    <t xml:space="preserve">[Annuaire]</t>
  </si>
  <si>
    <t xml:space="preserve">24/08/26</t>
  </si>
  <si>
    <t xml:space="preserve">31/08/26</t>
  </si>
  <si>
    <t xml:space="preserve">Conversation</t>
  </si>
  <si>
    <t xml:space="preserve">?</t>
  </si>
  <si>
    <t xml:space="preserve">Envoyer accès pilote</t>
  </si>
  <si>
    <t xml:space="preserve">« Intéressé·e si citable auprès de ses clients » — à creuser pour l'offre premium</t>
  </si>
  <si>
    <t xml:space="preserve">Statuts : À contacter → Envoyé → (Relancé) → Conversation → Pilote actif / Refus / Sans réponse. Rappel RGPD : la prospection B2B individualisée et pertinente au regard de la fonction du destinataire est licite ; toujours proposer le désabonnement.</t>
  </si>
  <si>
    <t xml:space="preserve">RUNBOOK INCIDENTS — [DOMAINE.FR]</t>
  </si>
  <si>
    <t xml:space="preserve">En cas d'incident : trouver le scénario, suivre les étapes DANS L'ORDRE, cocher au fur et à mesure. Ne pas improviser. Imprimer une copie papier. Complétez les cellules jaunes (liens directs vers vos consoles) une fois pour toutes. Adaptez les scénarios aux composants réels de votre chaîne — supprimez ceux sans objet.</t>
  </si>
  <si>
    <t xml:space="preserve">INCIDENT A — Le [livrable récurrent] n'est pas parti à [l'heure prévue]</t>
  </si>
  <si>
    <t xml:space="preserve">Ét.</t>
  </si>
  <si>
    <t xml:space="preserve">Action</t>
  </si>
  <si>
    <t xml:space="preserve">Fait ✓</t>
  </si>
  <si>
    <t xml:space="preserve">Notes / liens directs (à compléter)</t>
  </si>
  <si>
    <t xml:space="preserve">A1</t>
  </si>
  <si>
    <t xml:space="preserve">Vérifier la réception sur un compte client test (spam inclus). Si reçu → fausse alerte, fin.</t>
  </si>
  <si>
    <t xml:space="preserve">A2</t>
  </si>
  <si>
    <t xml:space="preserve">Ouvrir [l'outil d'automatisation] → historique d'exécution du workflow d'envoi. Noter le statut (échec / non déclenché / en cours) et le message d'erreur exact.</t>
  </si>
  <si>
    <t xml:space="preserve">A3</t>
  </si>
  <si>
    <t xml:space="preserve">Si échec à l'étape [plateforme d'envoi] : vérifier sa page de statut. Si le service est down → attendre 30 min puis ré-exécuter manuellement le workflow.</t>
  </si>
  <si>
    <t xml:space="preserve">A4</t>
  </si>
  <si>
    <t xml:space="preserve">Si échec à l'étape [API / fournisseur critique] : vérifier son statut. Si down → envoyer le [livrable dégradé de secours] (modèle pré-rédigé : « incident fournisseur, version complète dans la journée »).</t>
  </si>
  <si>
    <t xml:space="preserve">A5</t>
  </si>
  <si>
    <t xml:space="preserve">Si le workflow ne s'est pas déclenché du tout : vérifier que [l'outil d'automatisation] tourne. S'il est down → redémarrer l'instance ; si inaccessible → passer à l'incident C (hébergement).</t>
  </si>
  <si>
    <t xml:space="preserve">A6</t>
  </si>
  <si>
    <t xml:space="preserve">Une fois la cause traitée : ré-exécuter le workflow manuellement. Vérifier la réception sur le compte test.</t>
  </si>
  <si>
    <t xml:space="preserve">A7</t>
  </si>
  <si>
    <t xml:space="preserve">Si l'envoi part avec plus de 2 h de retard : e-mail court d'excuse aux clients (modèle pré-enregistré). La transparence protège la confiance.</t>
  </si>
  <si>
    <t xml:space="preserve">A8</t>
  </si>
  <si>
    <t xml:space="preserve">Consigner l'incident dans l'onglet Changelog (cause, durée, correctif).</t>
  </si>
  <si>
    <t xml:space="preserve">INCIDENT B — Le checkout / paiement est cassé</t>
  </si>
  <si>
    <t xml:space="preserve">B1</t>
  </si>
  <si>
    <t xml:space="preserve">Reproduire : tenter un achat test complet (carte de test du prestataire de paiement). Noter l'étape exacte du blocage et le message d'erreur (capture d'écran).</t>
  </si>
  <si>
    <t xml:space="preserve">B2</t>
  </si>
  <si>
    <t xml:space="preserve">Vérifier la page de statut du prestataire de paiement. S'il est down → attendre, rien à faire côté site.</t>
  </si>
  <si>
    <t xml:space="preserve">B3</t>
  </si>
  <si>
    <t xml:space="preserve">Vérifier dans le Changelog : quelle a été la DERNIÈRE modification du site ? (extension, mise à jour, réglage). C'est le suspect n°1.</t>
  </si>
  <si>
    <t xml:space="preserve">B4</t>
  </si>
  <si>
    <t xml:space="preserve">Si une modification récente est suspecte : la désactiver / annuler, puis re-tester l'achat.</t>
  </si>
  <si>
    <t xml:space="preserve">B5</t>
  </si>
  <si>
    <t xml:space="preserve">Si une extension de cache / minification a été touchée : vider le cache ET régénérer les fichiers minifiés, puis re-tester.</t>
  </si>
  <si>
    <t xml:space="preserve">B6</t>
  </si>
  <si>
    <t xml:space="preserve">Si rien n'y fait sous 1 h : restaurer la dernière sauvegarde saine (voir INCIDENT D). Un checkout cassé = zéro revenu.</t>
  </si>
  <si>
    <t xml:space="preserve">B7</t>
  </si>
  <si>
    <t xml:space="preserve">Vérifier ensuite que les webhooks paiement → automatisation fonctionnent (un achat test doit créer l'abonnement et la facture). Consigner au Changelog.</t>
  </si>
  <si>
    <t xml:space="preserve">INCIDENT C — Le site est down ou très dégradé</t>
  </si>
  <si>
    <t xml:space="preserve">C1</t>
  </si>
  <si>
    <t xml:space="preserve">Confirmer depuis un autre réseau (4G) et via un test externe type downforeveryoneorjustme.com.</t>
  </si>
  <si>
    <t xml:space="preserve">C2</t>
  </si>
  <si>
    <t xml:space="preserve">Vérifier le statut de l'hébergeur (console + page de statut). Si incident hébergeur → attendre, préparer une communication publique si &gt; 2 h.</t>
  </si>
  <si>
    <t xml:space="preserve">C3</t>
  </si>
  <si>
    <t xml:space="preserve">Si le site répond mais en erreur (500 / PHP) : consulter les logs d'erreur dans la console d'hébergement. Identifier l'extension fautive si nommée.</t>
  </si>
  <si>
    <t xml:space="preserve">C4</t>
  </si>
  <si>
    <t xml:space="preserve">Désactiver l'extension fautive via le gestionnaire de fichiers (renommer son dossier) — jamais de désactivation en masse.</t>
  </si>
  <si>
    <t xml:space="preserve">C5</t>
  </si>
  <si>
    <t xml:space="preserve">Si cause introuvable sous 1 h : restauration de sauvegarde (INCIDENT D).</t>
  </si>
  <si>
    <t xml:space="preserve">C6</t>
  </si>
  <si>
    <t xml:space="preserve">Après retour en ligne : dérouler la checklist de non-régression complète (onglet dédié). Consigner au Changelog.</t>
  </si>
  <si>
    <t xml:space="preserve">INCIDENT D — Procédure de restauration de sauvegarde</t>
  </si>
  <si>
    <t xml:space="preserve">D1</t>
  </si>
  <si>
    <t xml:space="preserve">AVANT TOUT : créer une sauvegarde de l'état actuel (même cassé) — elle peut contenir des données récentes (commandes, clients).</t>
  </si>
  <si>
    <t xml:space="preserve">D2</t>
  </si>
  <si>
    <t xml:space="preserve">Identifier la dernière sauvegarde SAINE : date antérieure au problème (s'aider du Changelog).</t>
  </si>
  <si>
    <t xml:space="preserve">D3</t>
  </si>
  <si>
    <t xml:space="preserve">Restaurer dans l'ordre proposé par l'outil de sauvegarde (base de données + extensions + thèmes + fichiers).</t>
  </si>
  <si>
    <t xml:space="preserve">D4</t>
  </si>
  <si>
    <t xml:space="preserve">Après restauration : vider tous les caches et régénérer les fichiers minifiés.</t>
  </si>
  <si>
    <t xml:space="preserve">D5</t>
  </si>
  <si>
    <t xml:space="preserve">Dérouler la checklist de non-régression complète (les points vitaux).</t>
  </si>
  <si>
    <t xml:space="preserve">D6</t>
  </si>
  <si>
    <t xml:space="preserve">Vérifier la cohérence des données : les commandes/abonnements créés ENTRE la sauvegarde et la restauration existent-ils encore ? Croiser avec le tableau de bord du prestataire de paiement (source de vérité des paiements) et recréer à la main si besoin.</t>
  </si>
  <si>
    <t xml:space="preserve">D7</t>
  </si>
  <si>
    <t xml:space="preserve">Consigner au Changelog : cause, sauvegarde utilisée, données recréées.</t>
  </si>
  <si>
    <t xml:space="preserve">INCIDENT E — Erreur détectée dans un [livrable] déjà envoyé</t>
  </si>
  <si>
    <t xml:space="preserve">E1</t>
  </si>
  <si>
    <t xml:space="preserve">Qualifier en 10 minutes : erreur matérielle (chiffre, fait, information inventée) ou nuance d'interprétation ? Une interprétation discutable ne déclenche pas d'erratum.</t>
  </si>
  <si>
    <t xml:space="preserve">E2</t>
  </si>
  <si>
    <t xml:space="preserve">Si erreur matérielle : rédiger un erratum court et factuel (3 phrases max : ce qui était écrit, ce qui est exact, la correction apportée au processus).</t>
  </si>
  <si>
    <t xml:space="preserve">E3</t>
  </si>
  <si>
    <t xml:space="preserve">L'envoyer le jour même aux destinataires concernés — ne jamais attendre l'édition suivante.</t>
  </si>
  <si>
    <t xml:space="preserve">E4</t>
  </si>
  <si>
    <t xml:space="preserve">Publier le même erratum sur [la page publique de référence] (l'assumer publiquement est un actif de crédibilité, pas une faiblesse).</t>
  </si>
  <si>
    <t xml:space="preserve">E5</t>
  </si>
  <si>
    <t xml:space="preserve">Analyser la cause dans le processus de production : la donnée venait d'où ? Ajouter/renforcer l'étape de validation pour ce type d'information.</t>
  </si>
  <si>
    <t xml:space="preserve">E6</t>
  </si>
  <si>
    <t xml:space="preserve">Consigner au Changelog. Si 2e erreur matérielle dans le mois → geler 1 journée et durcir le garde-fou avant tout nouvel envoi.</t>
  </si>
  <si>
    <t xml:space="preserve">INCIDENT F — Vague de résiliations ou plaintes soudaine (&gt; [3] en 48 h)</t>
  </si>
  <si>
    <t xml:space="preserve">F1</t>
  </si>
  <si>
    <t xml:space="preserve">Lire les motifs de résiliation (enquête 1 question) et les e-mails reçus. Chercher le motif commun.</t>
  </si>
  <si>
    <t xml:space="preserve">F2</t>
  </si>
  <si>
    <t xml:space="preserve">Vérifier les 3 derniers [livrables] : baisse de qualité, sujet clivant, erreur passée inaperçue ?</t>
  </si>
  <si>
    <t xml:space="preserve">F3</t>
  </si>
  <si>
    <t xml:space="preserve">Vérifier les aspects techniques : les envois arrivent-ils en spam ? (tester la délivrabilité, vérifier SPF/DKIM/DMARC).</t>
  </si>
  <si>
    <t xml:space="preserve">F4</t>
  </si>
  <si>
    <t xml:space="preserve">Répondre personnellement à chaque partant sous 24 h (fondateur solo = avantage : personne d'autre ne le fait).</t>
  </si>
  <si>
    <t xml:space="preserve">F5</t>
  </si>
  <si>
    <t xml:space="preserve">Si cause produit avérée : l'adresser dans l'édition du lendemain en une ligne transparente. Consigner au Changelog.</t>
  </si>
  <si>
    <t xml:space="preserve">Règle d'or transverse (à enrichir de vos propres leçons codifiées) : [ex. jamais de désactivation en masse sur la foi d'un scanner ; toujours régénérer les fichiers minifiés après tout changement d'extension ; aucune optimisation structurelle dans les 48 h suivant un lancement ou une campagne].</t>
  </si>
  <si>
    <t xml:space="preserve">PLAN DE CONTINUITÉ — BUS FACTOR = 1</t>
  </si>
  <si>
    <t xml:space="preserve">⚠ NE JAMAIS saisir de mot de passe dans ce fichier. La colonne « Où est l'accès » pointe vers votre gestionnaire de mots de passe (indiquer le nom de l'entrée). Stockez la base chiffrée dans un espace synchronisé et versionné, et remettez à votre personne de confiance : l'emplacement de la base + le mot de passe maître sous pli scellé. Activez la 2FA sur tous les comptes VITALE.</t>
  </si>
  <si>
    <t xml:space="preserve">Service</t>
  </si>
  <si>
    <t xml:space="preserve">Rôle dans la chaîne</t>
  </si>
  <si>
    <t xml:space="preserve">Criticité</t>
  </si>
  <si>
    <t xml:space="preserve">Où est l'accès (référence gestionnaire de MDP)</t>
  </si>
  <si>
    <t xml:space="preserve">Personne de confiance peut agir ?</t>
  </si>
  <si>
    <t xml:space="preserve">[Hébergeur (console)]</t>
  </si>
  <si>
    <t xml:space="preserve">Hébergement site + automatisation + fichiers + logs</t>
  </si>
  <si>
    <t xml:space="preserve">VITALE</t>
  </si>
  <si>
    <t xml:space="preserve">[Admin du site (CMS)]</t>
  </si>
  <si>
    <t xml:space="preserve">Site, boutique, contenu, extensions</t>
  </si>
  <si>
    <t xml:space="preserve">[Outil d'automatisation]</t>
  </si>
  <si>
    <t xml:space="preserve">Toute l'automatisation : livrable récurrent, factures, synchronisations, monitoring</t>
  </si>
  <si>
    <t xml:space="preserve">[Prestataire de paiement]</t>
  </si>
  <si>
    <t xml:space="preserve">Paiements, abonnements, remboursements — source de vérité des revenus</t>
  </si>
  <si>
    <t xml:space="preserve">[Plateforme e-mailing]</t>
  </si>
  <si>
    <t xml:space="preserve">Envoi du livrable + listes clients + transactionnel</t>
  </si>
  <si>
    <t xml:space="preserve">[Registrar / DNS]</t>
  </si>
  <si>
    <t xml:space="preserve">Noms de domaine — sans eux, plus rien ne pointe nulle part</t>
  </si>
  <si>
    <t xml:space="preserve">[Boîte e-mail principale]</t>
  </si>
  <si>
    <t xml:space="preserve">Récupération de TOUS les autres comptes (2FA, resets)</t>
  </si>
  <si>
    <t xml:space="preserve">[API IA / fournisseur critique n°1]</t>
  </si>
  <si>
    <t xml:space="preserve">Génération / traitement au cœur du produit</t>
  </si>
  <si>
    <t xml:space="preserve">HAUTE</t>
  </si>
  <si>
    <t xml:space="preserve">[API IA / fournisseur critique n°2]</t>
  </si>
  <si>
    <t xml:space="preserve">Assemblage / contrôle qualité du livrable</t>
  </si>
  <si>
    <t xml:space="preserve">[Outil de sauvegarde / stockage]</t>
  </si>
  <si>
    <t xml:space="preserve">Restauration après sinistre</t>
  </si>
  <si>
    <t xml:space="preserve">[Régie publicitaire]</t>
  </si>
  <si>
    <t xml:space="preserve">Campagnes payantes — savoir les METTRE EN PAUSE suffit</t>
  </si>
  <si>
    <t xml:space="preserve">MOYENNE</t>
  </si>
  <si>
    <t xml:space="preserve">[Analytics / gestion du consentement]</t>
  </si>
  <si>
    <t xml:space="preserve">Mesure et consentement</t>
  </si>
  <si>
    <t xml:space="preserve">[Comptabilité / facturation]</t>
  </si>
  <si>
    <t xml:space="preserve">Comptabilité, facturation électronique</t>
  </si>
  <si>
    <t xml:space="preserve">[Réseau social principal]</t>
  </si>
  <si>
    <t xml:space="preserve">Canal de distribution principal</t>
  </si>
  <si>
    <t xml:space="preserve">[Second site du portefeuille]</t>
  </si>
  <si>
    <t xml:space="preserve">Actif secondaire</t>
  </si>
  <si>
    <t xml:space="preserve">BASSE</t>
  </si>
  <si>
    <t xml:space="preserve">EXEMPLE — Service fictif</t>
  </si>
  <si>
    <t xml:space="preserve">Exemple de ligne montrant le format attendu — à supprimer</t>
  </si>
  <si>
    <t xml:space="preserve">Gestionnaire MDP &gt; groupe « [SOCIÉTÉ] » &gt; entrée « Service X »</t>
  </si>
  <si>
    <t xml:space="preserve">Oui — lecture seule</t>
  </si>
  <si>
    <t xml:space="preserve">2FA sur téléphone principal</t>
  </si>
  <si>
    <t xml:space="preserve">PROCÉDURE « EN CAS D'INDISPONIBILITÉ DU FONDATEUR &gt; 48 H » (à remettre à la personne de confiance)</t>
  </si>
  <si>
    <t xml:space="preserve">1. Ne rien casser : ne toucher ni au site ni à l'automatisation si le [livrable] part normalement — le système est autonome.</t>
  </si>
  <si>
    <t xml:space="preserve">2. Si le [livrable] ne part plus : envoyer le message pré-rédigé « Publication suspendue temporairement pour raison de force majeure ; vos abonnements sont automatiquement prolongés d'autant » (modèle enregistré dans la plateforme d'e-mailing).</t>
  </si>
  <si>
    <t xml:space="preserve">3. Mettre en pause les campagnes publicitaires (un bouton) pour arrêter toute dépense.</t>
  </si>
  <si>
    <t xml:space="preserve">4. Si l'indisponibilité dépasse 30 jours : mettre les abonnements en pause chez le prestataire de paiement (ou rembourser le mois en cours) plutôt que de facturer un service non rendu.</t>
  </si>
  <si>
    <t xml:space="preserve">5. Contacts utiles : [expert-comptable] ; [support hébergeur 24/7] ; [support prestataire de paiement].</t>
  </si>
  <si>
    <t xml:space="preserve">CHECKLIST DE NON-RÉGRESSION — après TOUTE modification du site / extension / thème</t>
  </si>
  <si>
    <t xml:space="preserve">5 minutes de vérification évitent une restauration. Une colonne par passage : datez l'en-tête (jaune), cochez OK/KO/n/a chaque point. Si un seul KO → traiter avant de passer à autre chose (Runbook si besoin). La colonne « Exemple » montre le format attendu. Adaptez les points de contrôle aux pages et parcours réellement vitaux de votre site.</t>
  </si>
  <si>
    <t xml:space="preserve">Point de contrôle</t>
  </si>
  <si>
    <t xml:space="preserve">Exemple [date]</t>
  </si>
  <si>
    <t xml:space="preserve">Date : ____</t>
  </si>
  <si>
    <t xml:space="preserve">1. Page d'accueil s'affiche correctement (sections vitales présentes : [FAQ, tarifs, appel à l'action])</t>
  </si>
  <si>
    <t xml:space="preserve">OK</t>
  </si>
  <si>
    <t xml:space="preserve">2. Page tarifs : les offres et boutons d'achat s'affichent et cliquent</t>
  </si>
  <si>
    <t xml:space="preserve">3. Parcours d'achat COMPLET en carte de test : panier → paiement → confirmation</t>
  </si>
  <si>
    <t xml:space="preserve">4. La commande test a bien créé [l'abonnement] et déclenché [le workflow associé — ex. facture PDF]</t>
  </si>
  <si>
    <t xml:space="preserve">5. Formulaire d'inscription gratuite : soumission test → contact créé dans [la plateforme e-mailing]</t>
  </si>
  <si>
    <t xml:space="preserve">6. Caches vidés ET fichiers minifiés régénérés</t>
  </si>
  <si>
    <t xml:space="preserve">7. Version mobile : accueil + tarifs vérifiées sur téléphone</t>
  </si>
  <si>
    <t xml:space="preserve">8. Aucune erreur nouvelle dans les logs (hébergeur) ni dans les exécutions [de l'outil d'automatisation]</t>
  </si>
  <si>
    <t xml:space="preserve">9. Changelog rempli : la modification et ce contrôle y sont consignés</t>
  </si>
  <si>
    <t xml:space="preserve">Menu déroulant OK / KO / n/a dans les cellules de passage. Quand les colonnes sont pleines, dupliquez l'onglet (clic droit → Déplacer ou copier) et archivez l'ancien.</t>
  </si>
  <si>
    <t xml:space="preserve">JOURNAL DES CHANGEMENTS — une ligne par modification, sans exception</t>
  </si>
  <si>
    <t xml:space="preserve">Remplir IMMÉDIATEMENT après chaque changement (extension, réglage, workflow, campagne, contenu structurel). C'est votre outil de diagnostic n°1 : « ça marchait mardi » se résout ici. La ligne EX. montre le format attendu — remplacez-la et continuez en dessous (cellules jaunes).</t>
  </si>
  <si>
    <t xml:space="preserve">Date</t>
  </si>
  <si>
    <t xml:space="preserve">Composant</t>
  </si>
  <si>
    <t xml:space="preserve">Changement effectué</t>
  </si>
  <si>
    <t xml:space="preserve">Raison</t>
  </si>
  <si>
    <t xml:space="preserve">Non-régr. faite ?</t>
  </si>
  <si>
    <t xml:space="preserve">Retour arrière possible ?</t>
  </si>
  <si>
    <t xml:space="preserve">Notes / résultat</t>
  </si>
  <si>
    <t xml:space="preserve">11/07/26</t>
  </si>
  <si>
    <t xml:space="preserve">Activation de la campagne Search « [NOM DE CAMPAGNE] »</t>
  </si>
  <si>
    <t xml:space="preserve">Lancement commercial</t>
  </si>
  <si>
    <t xml:space="preserve">n/a</t>
  </si>
  <si>
    <t xml:space="preserve">Oui (pause)</t>
  </si>
  <si>
    <t xml:space="preserve">En cours de validation par la régie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</si>
</sst>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d/mm"/>
    <numFmt numFmtId="167" formatCode="dd/mm/yy"/>
    <numFmt numFmtId="168" formatCode="General"/>
    <numFmt numFmtId="169" formatCode="0"/>
    <numFmt numFmtId="170" formatCode="0.0%"/>
    <numFmt numFmtId="171" formatCode="#,##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color rgb="FF4472C4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0066CC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21" min="9" style="0" width="7"/>
  </cols>
  <sheetData>
    <row r="1" customFormat="false" ht="15" hidden="false" customHeight="false" outlineLevel="0" collapsed="false">
      <c r="A1" s="1" t="s">
        <v>0</v>
      </c>
    </row>
    <row r="2" customFormat="false" ht="73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46027</v>
      </c>
      <c r="C4" s="6" t="s">
        <v>4</v>
      </c>
    </row>
    <row r="5" customFormat="false" ht="23.85" hidden="false" customHeight="false" outlineLevel="0" collapsed="false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7" t="s">
        <v>18</v>
      </c>
      <c r="O5" s="7" t="s">
        <v>19</v>
      </c>
      <c r="P5" s="7" t="s">
        <v>20</v>
      </c>
      <c r="Q5" s="7" t="s">
        <v>21</v>
      </c>
      <c r="R5" s="7" t="s">
        <v>22</v>
      </c>
      <c r="S5" s="7" t="s">
        <v>23</v>
      </c>
      <c r="T5" s="7" t="s">
        <v>24</v>
      </c>
      <c r="U5" s="7" t="s">
        <v>25</v>
      </c>
    </row>
    <row r="6" customFormat="false" ht="15" hidden="false" customHeight="false" outlineLevel="0" collapsed="false">
      <c r="I6" s="8" t="n">
        <f aca="false">$B$4</f>
        <v>46027</v>
      </c>
      <c r="J6" s="8" t="n">
        <f aca="false">I6+7</f>
        <v>46034</v>
      </c>
      <c r="K6" s="8" t="n">
        <f aca="false">J6+7</f>
        <v>46041</v>
      </c>
      <c r="L6" s="8" t="n">
        <f aca="false">K6+7</f>
        <v>46048</v>
      </c>
      <c r="M6" s="8" t="n">
        <f aca="false">L6+7</f>
        <v>46055</v>
      </c>
      <c r="N6" s="8" t="n">
        <f aca="false">M6+7</f>
        <v>46062</v>
      </c>
      <c r="O6" s="8" t="n">
        <f aca="false">N6+7</f>
        <v>46069</v>
      </c>
      <c r="P6" s="8" t="n">
        <f aca="false">O6+7</f>
        <v>46076</v>
      </c>
      <c r="Q6" s="8" t="n">
        <f aca="false">P6+7</f>
        <v>46083</v>
      </c>
      <c r="R6" s="8" t="n">
        <f aca="false">Q6+7</f>
        <v>46090</v>
      </c>
      <c r="S6" s="8" t="n">
        <f aca="false">R6+7</f>
        <v>46097</v>
      </c>
      <c r="T6" s="8" t="n">
        <f aca="false">S6+7</f>
        <v>46104</v>
      </c>
      <c r="U6" s="8" t="n">
        <f aca="false">T6+7</f>
        <v>46111</v>
      </c>
    </row>
    <row r="7" customFormat="false" ht="15" hidden="false" customHeight="false" outlineLevel="0" collapsed="false">
      <c r="A7" s="9" t="s">
        <v>26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23.85" hidden="false" customHeight="false" outlineLevel="0" collapsed="false">
      <c r="A8" s="11" t="n">
        <v>1</v>
      </c>
      <c r="B8" s="11" t="n">
        <v>0</v>
      </c>
      <c r="C8" s="12" t="s">
        <v>27</v>
      </c>
      <c r="D8" s="12" t="s">
        <v>28</v>
      </c>
      <c r="E8" s="13" t="s">
        <v>29</v>
      </c>
      <c r="F8" s="14" t="n">
        <v>46027</v>
      </c>
      <c r="G8" s="14" t="n">
        <v>46029</v>
      </c>
      <c r="H8" s="15" t="n">
        <f aca="false">IF(OR(F8="",G8=""),"",G8-F8+1)</f>
        <v>3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customFormat="false" ht="15" hidden="false" customHeight="false" outlineLevel="0" collapsed="false">
      <c r="A9" s="11" t="n">
        <v>2</v>
      </c>
      <c r="B9" s="11" t="n">
        <v>0</v>
      </c>
      <c r="C9" s="17"/>
      <c r="D9" s="17"/>
      <c r="E9" s="17"/>
      <c r="F9" s="18"/>
      <c r="G9" s="18"/>
      <c r="H9" s="15" t="str">
        <f aca="false">IF(OR(F9="",G9=""),"",G9-F9+1)</f>
        <v/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customFormat="false" ht="15" hidden="false" customHeight="false" outlineLevel="0" collapsed="false">
      <c r="A10" s="11" t="n">
        <v>3</v>
      </c>
      <c r="B10" s="11" t="n">
        <v>0</v>
      </c>
      <c r="C10" s="17"/>
      <c r="D10" s="17"/>
      <c r="E10" s="17"/>
      <c r="F10" s="18"/>
      <c r="G10" s="18"/>
      <c r="H10" s="15" t="str">
        <f aca="false">IF(OR(F10="",G10=""),"",G10-F10+1)</f>
        <v/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customFormat="false" ht="15" hidden="false" customHeight="false" outlineLevel="0" collapsed="false">
      <c r="A11" s="11" t="n">
        <v>4</v>
      </c>
      <c r="B11" s="11" t="n">
        <v>0</v>
      </c>
      <c r="C11" s="17"/>
      <c r="D11" s="17"/>
      <c r="E11" s="17"/>
      <c r="F11" s="18"/>
      <c r="G11" s="18"/>
      <c r="H11" s="15" t="str">
        <f aca="false">IF(OR(F11="",G11=""),"",G11-F11+1)</f>
        <v/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customFormat="false" ht="15" hidden="false" customHeight="false" outlineLevel="0" collapsed="false">
      <c r="A12" s="11" t="n">
        <v>5</v>
      </c>
      <c r="B12" s="11" t="n">
        <v>0</v>
      </c>
      <c r="C12" s="17"/>
      <c r="D12" s="17"/>
      <c r="E12" s="17"/>
      <c r="F12" s="18"/>
      <c r="G12" s="18"/>
      <c r="H12" s="15" t="str">
        <f aca="false">IF(OR(F12="",G12=""),"",G12-F12+1)</f>
        <v/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customFormat="false" ht="15" hidden="false" customHeight="false" outlineLevel="0" collapsed="false">
      <c r="A13" s="9" t="s">
        <v>30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5" hidden="false" customHeight="false" outlineLevel="0" collapsed="false">
      <c r="A14" s="11" t="n">
        <v>6</v>
      </c>
      <c r="B14" s="11" t="n">
        <v>1</v>
      </c>
      <c r="C14" s="17"/>
      <c r="D14" s="17"/>
      <c r="E14" s="17"/>
      <c r="F14" s="18"/>
      <c r="G14" s="18"/>
      <c r="H14" s="15" t="str">
        <f aca="false">IF(OR(F14="",G14=""),"",G14-F14+1)</f>
        <v/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customFormat="false" ht="15" hidden="false" customHeight="false" outlineLevel="0" collapsed="false">
      <c r="A15" s="11" t="n">
        <v>7</v>
      </c>
      <c r="B15" s="11" t="n">
        <v>1</v>
      </c>
      <c r="C15" s="17"/>
      <c r="D15" s="17"/>
      <c r="E15" s="17"/>
      <c r="F15" s="18"/>
      <c r="G15" s="18"/>
      <c r="H15" s="15" t="str">
        <f aca="false">IF(OR(F15="",G15=""),"",G15-F15+1)</f>
        <v/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customFormat="false" ht="15" hidden="false" customHeight="false" outlineLevel="0" collapsed="false">
      <c r="A16" s="11" t="n">
        <v>8</v>
      </c>
      <c r="B16" s="11" t="n">
        <v>1</v>
      </c>
      <c r="C16" s="17"/>
      <c r="D16" s="17"/>
      <c r="E16" s="17"/>
      <c r="F16" s="18"/>
      <c r="G16" s="18"/>
      <c r="H16" s="15" t="str">
        <f aca="false">IF(OR(F16="",G16=""),"",G16-F16+1)</f>
        <v/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customFormat="false" ht="15" hidden="false" customHeight="false" outlineLevel="0" collapsed="false">
      <c r="A17" s="11" t="n">
        <v>9</v>
      </c>
      <c r="B17" s="11" t="n">
        <v>1</v>
      </c>
      <c r="C17" s="17"/>
      <c r="D17" s="17"/>
      <c r="E17" s="17"/>
      <c r="F17" s="18"/>
      <c r="G17" s="18"/>
      <c r="H17" s="15" t="str">
        <f aca="false">IF(OR(F17="",G17=""),"",G17-F17+1)</f>
        <v/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customFormat="false" ht="15" hidden="false" customHeight="false" outlineLevel="0" collapsed="false">
      <c r="A18" s="11" t="n">
        <v>10</v>
      </c>
      <c r="B18" s="11" t="n">
        <v>1</v>
      </c>
      <c r="C18" s="17"/>
      <c r="D18" s="17"/>
      <c r="E18" s="17"/>
      <c r="F18" s="18"/>
      <c r="G18" s="18"/>
      <c r="H18" s="15" t="str">
        <f aca="false">IF(OR(F18="",G18=""),"",G18-F18+1)</f>
        <v/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customFormat="false" ht="15" hidden="false" customHeight="false" outlineLevel="0" collapsed="false">
      <c r="A19" s="9" t="s">
        <v>31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customFormat="false" ht="15" hidden="false" customHeight="false" outlineLevel="0" collapsed="false">
      <c r="A20" s="11" t="n">
        <v>11</v>
      </c>
      <c r="B20" s="11" t="n">
        <v>2</v>
      </c>
      <c r="C20" s="17"/>
      <c r="D20" s="17"/>
      <c r="E20" s="17"/>
      <c r="F20" s="18"/>
      <c r="G20" s="18"/>
      <c r="H20" s="15" t="str">
        <f aca="false">IF(OR(F20="",G20=""),"",G20-F20+1)</f>
        <v/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customFormat="false" ht="15" hidden="false" customHeight="false" outlineLevel="0" collapsed="false">
      <c r="A21" s="11" t="n">
        <v>12</v>
      </c>
      <c r="B21" s="11" t="n">
        <v>2</v>
      </c>
      <c r="C21" s="17"/>
      <c r="D21" s="17"/>
      <c r="E21" s="17"/>
      <c r="F21" s="18"/>
      <c r="G21" s="18"/>
      <c r="H21" s="15" t="str">
        <f aca="false">IF(OR(F21="",G21=""),"",G21-F21+1)</f>
        <v/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customFormat="false" ht="15" hidden="false" customHeight="false" outlineLevel="0" collapsed="false">
      <c r="A22" s="11" t="n">
        <v>13</v>
      </c>
      <c r="B22" s="11" t="n">
        <v>2</v>
      </c>
      <c r="C22" s="17"/>
      <c r="D22" s="17"/>
      <c r="E22" s="17"/>
      <c r="F22" s="18"/>
      <c r="G22" s="18"/>
      <c r="H22" s="15" t="str">
        <f aca="false">IF(OR(F22="",G22=""),"",G22-F22+1)</f>
        <v/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customFormat="false" ht="15" hidden="false" customHeight="false" outlineLevel="0" collapsed="false">
      <c r="A23" s="11" t="n">
        <v>14</v>
      </c>
      <c r="B23" s="11" t="n">
        <v>2</v>
      </c>
      <c r="C23" s="17"/>
      <c r="D23" s="17"/>
      <c r="E23" s="17"/>
      <c r="F23" s="18"/>
      <c r="G23" s="18"/>
      <c r="H23" s="15" t="str">
        <f aca="false">IF(OR(F23="",G23=""),"",G23-F23+1)</f>
        <v/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customFormat="false" ht="15" hidden="false" customHeight="false" outlineLevel="0" collapsed="false">
      <c r="A24" s="11" t="n">
        <v>15</v>
      </c>
      <c r="B24" s="11" t="n">
        <v>2</v>
      </c>
      <c r="C24" s="17"/>
      <c r="D24" s="17"/>
      <c r="E24" s="17"/>
      <c r="F24" s="18"/>
      <c r="G24" s="18"/>
      <c r="H24" s="15" t="str">
        <f aca="false">IF(OR(F24="",G24=""),"",G24-F24+1)</f>
        <v/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customFormat="false" ht="15" hidden="false" customHeight="false" outlineLevel="0" collapsed="false">
      <c r="A25" s="11" t="n">
        <v>16</v>
      </c>
      <c r="B25" s="11" t="n">
        <v>2</v>
      </c>
      <c r="C25" s="17"/>
      <c r="D25" s="17"/>
      <c r="E25" s="17"/>
      <c r="F25" s="18"/>
      <c r="G25" s="18"/>
      <c r="H25" s="15" t="str">
        <f aca="false">IF(OR(F25="",G25=""),"",G25-F25+1)</f>
        <v/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customFormat="false" ht="15" hidden="false" customHeight="false" outlineLevel="0" collapsed="false">
      <c r="A26" s="9" t="s">
        <v>32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customFormat="false" ht="15" hidden="false" customHeight="false" outlineLevel="0" collapsed="false">
      <c r="A27" s="11" t="n">
        <v>17</v>
      </c>
      <c r="B27" s="11" t="n">
        <v>3</v>
      </c>
      <c r="C27" s="17"/>
      <c r="D27" s="17"/>
      <c r="E27" s="17"/>
      <c r="F27" s="18"/>
      <c r="G27" s="18"/>
      <c r="H27" s="15" t="str">
        <f aca="false">IF(OR(F27="",G27=""),"",G27-F27+1)</f>
        <v/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customFormat="false" ht="15" hidden="false" customHeight="false" outlineLevel="0" collapsed="false">
      <c r="A28" s="11" t="n">
        <v>18</v>
      </c>
      <c r="B28" s="11" t="n">
        <v>3</v>
      </c>
      <c r="C28" s="17"/>
      <c r="D28" s="17"/>
      <c r="E28" s="17"/>
      <c r="F28" s="18"/>
      <c r="G28" s="18"/>
      <c r="H28" s="15" t="str">
        <f aca="false">IF(OR(F28="",G28=""),"",G28-F28+1)</f>
        <v/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customFormat="false" ht="15" hidden="false" customHeight="false" outlineLevel="0" collapsed="false">
      <c r="A29" s="11" t="n">
        <v>19</v>
      </c>
      <c r="B29" s="11" t="n">
        <v>3</v>
      </c>
      <c r="C29" s="17"/>
      <c r="D29" s="17"/>
      <c r="E29" s="17"/>
      <c r="F29" s="18"/>
      <c r="G29" s="18"/>
      <c r="H29" s="15" t="str">
        <f aca="false">IF(OR(F29="",G29=""),"",G29-F29+1)</f>
        <v/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customFormat="false" ht="15" hidden="false" customHeight="false" outlineLevel="0" collapsed="false">
      <c r="A30" s="11" t="n">
        <v>20</v>
      </c>
      <c r="B30" s="11" t="n">
        <v>3</v>
      </c>
      <c r="C30" s="17"/>
      <c r="D30" s="17"/>
      <c r="E30" s="17"/>
      <c r="F30" s="18"/>
      <c r="G30" s="18"/>
      <c r="H30" s="15" t="str">
        <f aca="false">IF(OR(F30="",G30=""),"",G30-F30+1)</f>
        <v/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customFormat="false" ht="15" hidden="false" customHeight="false" outlineLevel="0" collapsed="false">
      <c r="A31" s="11" t="n">
        <v>21</v>
      </c>
      <c r="B31" s="11" t="n">
        <v>3</v>
      </c>
      <c r="C31" s="17"/>
      <c r="D31" s="17"/>
      <c r="E31" s="17"/>
      <c r="F31" s="18"/>
      <c r="G31" s="18"/>
      <c r="H31" s="15" t="str">
        <f aca="false">IF(OR(F31="",G31=""),"",G31-F31+1)</f>
        <v/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customFormat="false" ht="15" hidden="false" customHeight="false" outlineLevel="0" collapsed="false">
      <c r="A32" s="9" t="s">
        <v>33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customFormat="false" ht="15" hidden="false" customHeight="false" outlineLevel="0" collapsed="false">
      <c r="A33" s="11" t="n">
        <v>22</v>
      </c>
      <c r="B33" s="11" t="n">
        <v>4</v>
      </c>
      <c r="C33" s="17"/>
      <c r="D33" s="17"/>
      <c r="E33" s="17"/>
      <c r="F33" s="18"/>
      <c r="G33" s="18"/>
      <c r="H33" s="15" t="str">
        <f aca="false">IF(OR(F33="",G33=""),"",G33-F33+1)</f>
        <v/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customFormat="false" ht="15" hidden="false" customHeight="false" outlineLevel="0" collapsed="false">
      <c r="A34" s="11" t="n">
        <v>23</v>
      </c>
      <c r="B34" s="11" t="n">
        <v>4</v>
      </c>
      <c r="C34" s="17"/>
      <c r="D34" s="17"/>
      <c r="E34" s="17"/>
      <c r="F34" s="18"/>
      <c r="G34" s="18"/>
      <c r="H34" s="15" t="str">
        <f aca="false">IF(OR(F34="",G34=""),"",G34-F34+1)</f>
        <v/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customFormat="false" ht="15" hidden="false" customHeight="false" outlineLevel="0" collapsed="false">
      <c r="A35" s="11" t="n">
        <v>24</v>
      </c>
      <c r="B35" s="11" t="n">
        <v>4</v>
      </c>
      <c r="C35" s="17"/>
      <c r="D35" s="17"/>
      <c r="E35" s="17"/>
      <c r="F35" s="18"/>
      <c r="G35" s="18"/>
      <c r="H35" s="15" t="str">
        <f aca="false">IF(OR(F35="",G35=""),"",G35-F35+1)</f>
        <v/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customFormat="false" ht="15" hidden="false" customHeight="false" outlineLevel="0" collapsed="false">
      <c r="A36" s="11" t="n">
        <v>25</v>
      </c>
      <c r="B36" s="11" t="n">
        <v>4</v>
      </c>
      <c r="C36" s="17"/>
      <c r="D36" s="17"/>
      <c r="E36" s="17"/>
      <c r="F36" s="18"/>
      <c r="G36" s="18"/>
      <c r="H36" s="15" t="str">
        <f aca="false">IF(OR(F36="",G36=""),"",G36-F36+1)</f>
        <v/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customFormat="false" ht="15" hidden="false" customHeight="false" outlineLevel="0" collapsed="false">
      <c r="A37" s="11" t="n">
        <v>26</v>
      </c>
      <c r="B37" s="11" t="n">
        <v>4</v>
      </c>
      <c r="C37" s="17"/>
      <c r="D37" s="17"/>
      <c r="E37" s="17"/>
      <c r="F37" s="18"/>
      <c r="G37" s="18"/>
      <c r="H37" s="15" t="str">
        <f aca="false">IF(OR(F37="",G37=""),"",G37-F37+1)</f>
        <v/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customFormat="false" ht="15" hidden="false" customHeight="false" outlineLevel="0" collapsed="false">
      <c r="A38" s="9" t="s">
        <v>34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customFormat="false" ht="15" hidden="false" customHeight="false" outlineLevel="0" collapsed="false">
      <c r="A39" s="11" t="n">
        <v>27</v>
      </c>
      <c r="B39" s="11" t="n">
        <v>5</v>
      </c>
      <c r="C39" s="17"/>
      <c r="D39" s="17"/>
      <c r="E39" s="17"/>
      <c r="F39" s="18"/>
      <c r="G39" s="18"/>
      <c r="H39" s="15" t="str">
        <f aca="false">IF(OR(F39="",G39=""),"",G39-F39+1)</f>
        <v/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customFormat="false" ht="15" hidden="false" customHeight="false" outlineLevel="0" collapsed="false">
      <c r="A40" s="11" t="n">
        <v>28</v>
      </c>
      <c r="B40" s="11" t="n">
        <v>5</v>
      </c>
      <c r="C40" s="17"/>
      <c r="D40" s="17"/>
      <c r="E40" s="17"/>
      <c r="F40" s="18"/>
      <c r="G40" s="18"/>
      <c r="H40" s="15" t="str">
        <f aca="false">IF(OR(F40="",G40=""),"",G40-F40+1)</f>
        <v/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customFormat="false" ht="15" hidden="false" customHeight="false" outlineLevel="0" collapsed="false">
      <c r="A41" s="11" t="n">
        <v>29</v>
      </c>
      <c r="B41" s="11" t="n">
        <v>5</v>
      </c>
      <c r="C41" s="17"/>
      <c r="D41" s="17"/>
      <c r="E41" s="17"/>
      <c r="F41" s="18"/>
      <c r="G41" s="18"/>
      <c r="H41" s="15" t="str">
        <f aca="false">IF(OR(F41="",G41=""),"",G41-F41+1)</f>
        <v/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customFormat="false" ht="15" hidden="false" customHeight="false" outlineLevel="0" collapsed="false">
      <c r="A42" s="11" t="n">
        <v>30</v>
      </c>
      <c r="B42" s="11" t="n">
        <v>5</v>
      </c>
      <c r="C42" s="17"/>
      <c r="D42" s="17"/>
      <c r="E42" s="17"/>
      <c r="F42" s="18"/>
      <c r="G42" s="18"/>
      <c r="H42" s="15" t="str">
        <f aca="false">IF(OR(F42="",G42=""),"",G42-F42+1)</f>
        <v/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customFormat="false" ht="15" hidden="false" customHeight="false" outlineLevel="0" collapsed="false">
      <c r="A43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15" min="3" style="0" width="10"/>
  </cols>
  <sheetData>
    <row r="1" customFormat="false" ht="15" hidden="false" customHeight="false" outlineLevel="0" collapsed="false">
      <c r="A1" s="1" t="s">
        <v>36</v>
      </c>
    </row>
    <row r="2" customFormat="false" ht="64.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7" t="s">
        <v>38</v>
      </c>
      <c r="B4" s="7" t="s">
        <v>39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7" t="s">
        <v>23</v>
      </c>
      <c r="N4" s="7" t="s">
        <v>24</v>
      </c>
      <c r="O4" s="7" t="s">
        <v>25</v>
      </c>
    </row>
    <row r="5" customFormat="false" ht="15" hidden="false" customHeight="false" outlineLevel="0" collapsed="false">
      <c r="C5" s="8" t="n">
        <f aca="false">'Rétro-planning Gantt'!$B$4</f>
        <v>46027</v>
      </c>
      <c r="D5" s="8" t="n">
        <f aca="false">C5+7</f>
        <v>46034</v>
      </c>
      <c r="E5" s="8" t="n">
        <f aca="false">D5+7</f>
        <v>46041</v>
      </c>
      <c r="F5" s="8" t="n">
        <f aca="false">E5+7</f>
        <v>46048</v>
      </c>
      <c r="G5" s="8" t="n">
        <f aca="false">F5+7</f>
        <v>46055</v>
      </c>
      <c r="H5" s="8" t="n">
        <f aca="false">G5+7</f>
        <v>46062</v>
      </c>
      <c r="I5" s="8" t="n">
        <f aca="false">H5+7</f>
        <v>46069</v>
      </c>
      <c r="J5" s="8" t="n">
        <f aca="false">I5+7</f>
        <v>46076</v>
      </c>
      <c r="K5" s="8" t="n">
        <f aca="false">J5+7</f>
        <v>46083</v>
      </c>
      <c r="L5" s="8" t="n">
        <f aca="false">K5+7</f>
        <v>46090</v>
      </c>
      <c r="M5" s="8" t="n">
        <f aca="false">L5+7</f>
        <v>46097</v>
      </c>
      <c r="N5" s="8" t="n">
        <f aca="false">M5+7</f>
        <v>46104</v>
      </c>
      <c r="O5" s="8" t="n">
        <f aca="false">N5+7</f>
        <v>46111</v>
      </c>
    </row>
    <row r="6" customFormat="false" ht="15" hidden="false" customHeight="false" outlineLevel="0" collapsed="false">
      <c r="A6" s="19" t="s">
        <v>40</v>
      </c>
      <c r="B6" s="20" t="s">
        <v>41</v>
      </c>
      <c r="C6" s="21" t="n">
        <v>12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customFormat="false" ht="15" hidden="false" customHeight="false" outlineLevel="0" collapsed="false">
      <c r="A7" s="19" t="s">
        <v>42</v>
      </c>
      <c r="B7" s="20" t="s">
        <v>43</v>
      </c>
      <c r="C7" s="21" t="n">
        <v>12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customFormat="false" ht="23.85" hidden="false" customHeight="false" outlineLevel="0" collapsed="false">
      <c r="A8" s="19" t="s">
        <v>44</v>
      </c>
      <c r="B8" s="20" t="s">
        <v>45</v>
      </c>
      <c r="C8" s="23" t="n">
        <v>0.38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customFormat="false" ht="15" hidden="false" customHeight="false" outlineLevel="0" collapsed="false">
      <c r="A9" s="19" t="s">
        <v>46</v>
      </c>
      <c r="B9" s="20" t="s">
        <v>47</v>
      </c>
      <c r="C9" s="23" t="n">
        <v>0.06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customFormat="false" ht="15" hidden="false" customHeight="false" outlineLevel="0" collapsed="false">
      <c r="A10" s="19" t="s">
        <v>48</v>
      </c>
      <c r="B10" s="20" t="s">
        <v>49</v>
      </c>
      <c r="C10" s="23" t="n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customFormat="false" ht="15" hidden="false" customHeight="false" outlineLevel="0" collapsed="false">
      <c r="A11" s="19" t="s">
        <v>50</v>
      </c>
      <c r="B11" s="20" t="s">
        <v>51</v>
      </c>
      <c r="C11" s="21" t="n">
        <v>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customFormat="false" ht="15" hidden="false" customHeight="false" outlineLevel="0" collapsed="false">
      <c r="A12" s="19" t="s">
        <v>52</v>
      </c>
      <c r="B12" s="20" t="s">
        <v>53</v>
      </c>
      <c r="C12" s="21" t="n">
        <v>1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customFormat="false" ht="15" hidden="false" customHeight="false" outlineLevel="0" collapsed="false">
      <c r="A13" s="19" t="s">
        <v>54</v>
      </c>
      <c r="B13" s="20" t="s">
        <v>55</v>
      </c>
      <c r="C13" s="23" t="n"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customFormat="false" ht="23.85" hidden="false" customHeight="false" outlineLevel="0" collapsed="false">
      <c r="A14" s="19" t="s">
        <v>56</v>
      </c>
      <c r="B14" s="20" t="s">
        <v>57</v>
      </c>
      <c r="C14" s="25" t="n">
        <v>80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customFormat="false" ht="23.85" hidden="false" customHeight="false" outlineLevel="0" collapsed="false">
      <c r="A15" s="19" t="s">
        <v>58</v>
      </c>
      <c r="B15" s="20" t="s">
        <v>59</v>
      </c>
      <c r="C15" s="25" t="n">
        <v>0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customFormat="false" ht="15" hidden="false" customHeight="false" outlineLevel="0" collapsed="false">
      <c r="A16" s="19" t="s">
        <v>60</v>
      </c>
      <c r="B16" s="20" t="s">
        <v>61</v>
      </c>
      <c r="C16" s="21" t="n">
        <v>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customFormat="false" ht="15" hidden="false" customHeight="false" outlineLevel="0" collapsed="false">
      <c r="A17" s="19" t="s">
        <v>62</v>
      </c>
      <c r="B17" s="20" t="s">
        <v>63</v>
      </c>
      <c r="C17" s="21" t="n"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customFormat="false" ht="15" hidden="false" customHeight="false" outlineLevel="0" collapsed="false">
      <c r="A18" s="19" t="s">
        <v>64</v>
      </c>
      <c r="B18" s="20" t="s">
        <v>65</v>
      </c>
      <c r="C18" s="25" t="n">
        <v>116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20" customFormat="false" ht="43.25" hidden="false" customHeight="false" outlineLevel="0" collapsed="false">
      <c r="A20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67</v>
      </c>
    </row>
    <row r="2" customFormat="false" ht="64.15" hidden="false" customHeight="false" outlineLevel="0" collapsed="false">
      <c r="A2" s="2" t="s">
        <v>68</v>
      </c>
    </row>
    <row r="4" customFormat="false" ht="23.85" hidden="false" customHeight="false" outlineLevel="0" collapsed="false">
      <c r="A4" s="7" t="s">
        <v>69</v>
      </c>
      <c r="B4" s="7" t="s">
        <v>70</v>
      </c>
      <c r="C4" s="7" t="s">
        <v>71</v>
      </c>
      <c r="D4" s="7" t="s">
        <v>72</v>
      </c>
      <c r="E4" s="7" t="s">
        <v>73</v>
      </c>
    </row>
    <row r="5" customFormat="false" ht="23.85" hidden="false" customHeight="false" outlineLevel="0" collapsed="false">
      <c r="A5" s="19" t="s">
        <v>74</v>
      </c>
      <c r="B5" s="20" t="s">
        <v>75</v>
      </c>
      <c r="C5" s="20" t="s">
        <v>76</v>
      </c>
      <c r="D5" s="20" t="s">
        <v>77</v>
      </c>
      <c r="E5" s="27"/>
    </row>
    <row r="6" customFormat="false" ht="15" hidden="false" customHeight="false" outlineLevel="0" collapsed="false">
      <c r="A6" s="19" t="s">
        <v>78</v>
      </c>
      <c r="B6" s="20" t="s">
        <v>79</v>
      </c>
      <c r="C6" s="20" t="s">
        <v>80</v>
      </c>
      <c r="D6" s="20" t="s">
        <v>29</v>
      </c>
      <c r="E6" s="27"/>
    </row>
    <row r="7" customFormat="false" ht="15" hidden="false" customHeight="false" outlineLevel="0" collapsed="false">
      <c r="A7" s="19" t="s">
        <v>50</v>
      </c>
      <c r="B7" s="20" t="s">
        <v>81</v>
      </c>
      <c r="C7" s="20" t="s">
        <v>82</v>
      </c>
      <c r="D7" s="20" t="s">
        <v>83</v>
      </c>
      <c r="E7" s="27"/>
    </row>
    <row r="8" customFormat="false" ht="15" hidden="false" customHeight="false" outlineLevel="0" collapsed="false">
      <c r="A8" s="19" t="s">
        <v>84</v>
      </c>
      <c r="B8" s="20" t="s">
        <v>85</v>
      </c>
      <c r="C8" s="20" t="s">
        <v>86</v>
      </c>
      <c r="D8" s="20" t="s">
        <v>87</v>
      </c>
      <c r="E8" s="27"/>
    </row>
    <row r="9" customFormat="false" ht="15" hidden="false" customHeight="false" outlineLevel="0" collapsed="false">
      <c r="A9" s="19" t="s">
        <v>88</v>
      </c>
      <c r="B9" s="20" t="s">
        <v>89</v>
      </c>
      <c r="C9" s="20" t="s">
        <v>89</v>
      </c>
      <c r="D9" s="20" t="s">
        <v>89</v>
      </c>
      <c r="E9" s="27"/>
    </row>
    <row r="11" customFormat="false" ht="53.7" hidden="false" customHeight="false" outlineLevel="0" collapsed="false">
      <c r="A11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1" t="s">
        <v>91</v>
      </c>
    </row>
    <row r="2" customFormat="false" ht="564.9" hidden="false" customHeight="false" outlineLevel="0" collapsed="false">
      <c r="A2" s="2" t="s">
        <v>92</v>
      </c>
    </row>
    <row r="4" customFormat="false" ht="15" hidden="false" customHeight="false" outlineLevel="0" collapsed="false">
      <c r="A4" s="7" t="s">
        <v>5</v>
      </c>
      <c r="B4" s="7" t="s">
        <v>93</v>
      </c>
      <c r="C4" s="7" t="s">
        <v>94</v>
      </c>
      <c r="D4" s="7" t="s">
        <v>7</v>
      </c>
      <c r="E4" s="7" t="s">
        <v>95</v>
      </c>
      <c r="F4" s="7" t="s">
        <v>96</v>
      </c>
      <c r="G4" s="7" t="s">
        <v>97</v>
      </c>
      <c r="H4" s="7" t="s">
        <v>98</v>
      </c>
      <c r="I4" s="7" t="s">
        <v>99</v>
      </c>
    </row>
    <row r="5" customFormat="false" ht="23.85" hidden="false" customHeight="false" outlineLevel="0" collapsed="false">
      <c r="A5" s="12" t="s">
        <v>100</v>
      </c>
      <c r="B5" s="12" t="s">
        <v>101</v>
      </c>
      <c r="C5" s="12" t="s">
        <v>102</v>
      </c>
      <c r="D5" s="12" t="s">
        <v>103</v>
      </c>
      <c r="E5" s="12" t="s">
        <v>104</v>
      </c>
      <c r="F5" s="12" t="s">
        <v>105</v>
      </c>
      <c r="G5" s="12" t="s">
        <v>106</v>
      </c>
      <c r="H5" s="12" t="s">
        <v>107</v>
      </c>
      <c r="I5" s="12" t="s">
        <v>108</v>
      </c>
    </row>
    <row r="6" customFormat="false" ht="15" hidden="false" customHeight="false" outlineLevel="0" collapsed="false">
      <c r="A6" s="11" t="n">
        <v>1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11" t="n">
        <v>2</v>
      </c>
      <c r="B7" s="17"/>
      <c r="C7" s="17"/>
      <c r="D7" s="17"/>
      <c r="E7" s="17"/>
      <c r="F7" s="17"/>
      <c r="G7" s="17"/>
      <c r="H7" s="17"/>
      <c r="I7" s="17"/>
    </row>
    <row r="8" customFormat="false" ht="15" hidden="false" customHeight="false" outlineLevel="0" collapsed="false">
      <c r="A8" s="11" t="n">
        <v>3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11" t="n">
        <v>4</v>
      </c>
      <c r="B9" s="17"/>
      <c r="C9" s="17"/>
      <c r="D9" s="17"/>
      <c r="E9" s="17"/>
      <c r="F9" s="17"/>
      <c r="G9" s="17"/>
      <c r="H9" s="17"/>
      <c r="I9" s="17"/>
    </row>
    <row r="10" customFormat="false" ht="15" hidden="false" customHeight="false" outlineLevel="0" collapsed="false">
      <c r="A10" s="11" t="n">
        <v>5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11" t="n">
        <v>6</v>
      </c>
      <c r="B11" s="17"/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>
      <c r="A12" s="11" t="n">
        <v>7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11" t="n">
        <v>8</v>
      </c>
      <c r="B13" s="17"/>
      <c r="C13" s="17"/>
      <c r="D13" s="17"/>
      <c r="E13" s="17"/>
      <c r="F13" s="17"/>
      <c r="G13" s="17"/>
      <c r="H13" s="17"/>
      <c r="I13" s="17"/>
    </row>
    <row r="14" customFormat="false" ht="15" hidden="false" customHeight="false" outlineLevel="0" collapsed="false">
      <c r="A14" s="11" t="n">
        <v>9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11" t="n">
        <v>10</v>
      </c>
      <c r="B15" s="17"/>
      <c r="C15" s="17"/>
      <c r="D15" s="17"/>
      <c r="E15" s="17"/>
      <c r="F15" s="17"/>
      <c r="G15" s="17"/>
      <c r="H15" s="17"/>
      <c r="I15" s="17"/>
    </row>
    <row r="16" customFormat="false" ht="15" hidden="false" customHeight="false" outlineLevel="0" collapsed="false">
      <c r="A16" s="11" t="n">
        <v>11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11" t="n">
        <v>12</v>
      </c>
      <c r="B17" s="17"/>
      <c r="C17" s="17"/>
      <c r="D17" s="17"/>
      <c r="E17" s="17"/>
      <c r="F17" s="17"/>
      <c r="G17" s="17"/>
      <c r="H17" s="17"/>
      <c r="I17" s="17"/>
    </row>
    <row r="18" customFormat="false" ht="15" hidden="false" customHeight="false" outlineLevel="0" collapsed="false">
      <c r="A18" s="11" t="n">
        <v>13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11" t="n">
        <v>14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11" t="n">
        <v>15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11" t="n">
        <v>16</v>
      </c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11" t="n">
        <v>17</v>
      </c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11" t="n">
        <v>18</v>
      </c>
      <c r="B23" s="17"/>
      <c r="C23" s="17"/>
      <c r="D23" s="17"/>
      <c r="E23" s="17"/>
      <c r="F23" s="17"/>
      <c r="G23" s="17"/>
      <c r="H23" s="17"/>
      <c r="I23" s="17"/>
    </row>
    <row r="24" customFormat="false" ht="15" hidden="false" customHeight="false" outlineLevel="0" collapsed="false">
      <c r="A24" s="11" t="n">
        <v>19</v>
      </c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11" t="n">
        <v>20</v>
      </c>
      <c r="B25" s="17"/>
      <c r="C25" s="17"/>
      <c r="D25" s="17"/>
      <c r="E25" s="17"/>
      <c r="F25" s="17"/>
      <c r="G25" s="17"/>
      <c r="H25" s="17"/>
      <c r="I25" s="17"/>
    </row>
    <row r="26" customFormat="false" ht="15" hidden="false" customHeight="false" outlineLevel="0" collapsed="false">
      <c r="A26" s="11" t="n">
        <v>21</v>
      </c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11" t="n">
        <v>22</v>
      </c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11" t="n">
        <v>23</v>
      </c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11" t="n">
        <v>24</v>
      </c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false" outlineLevel="0" collapsed="false">
      <c r="A30" s="11" t="n">
        <v>25</v>
      </c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11" t="n">
        <v>26</v>
      </c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1" t="n">
        <v>27</v>
      </c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false" outlineLevel="0" collapsed="false">
      <c r="A33" s="11" t="n">
        <v>28</v>
      </c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11" t="n">
        <v>29</v>
      </c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11" t="n">
        <v>30</v>
      </c>
      <c r="B35" s="17"/>
      <c r="C35" s="17"/>
      <c r="D35" s="17"/>
      <c r="E35" s="17"/>
      <c r="F35" s="17"/>
      <c r="G35" s="17"/>
      <c r="H35" s="17"/>
      <c r="I35" s="17"/>
    </row>
    <row r="37" customFormat="false" ht="564.9" hidden="false" customHeight="false" outlineLevel="0" collapsed="false">
      <c r="A37" s="2" t="s">
        <v>109</v>
      </c>
    </row>
  </sheetData>
  <dataValidations count="2">
    <dataValidation allowBlank="true" errorStyle="stop" operator="between" showDropDown="false" showErrorMessage="false" showInputMessage="false" sqref="B5:B35" type="list">
      <formula1>"P1,P2,P3"</formula1>
      <formula2>0</formula2>
    </dataValidation>
    <dataValidation allowBlank="true" errorStyle="stop" operator="between" showDropDown="false" showErrorMessage="false" showInputMessage="false" sqref="G5:G35" type="list">
      <formula1>"À faire,En cours,Fait,Abandonné"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1" t="s">
        <v>110</v>
      </c>
    </row>
    <row r="2" customFormat="false" ht="752.95" hidden="false" customHeight="false" outlineLevel="0" collapsed="false">
      <c r="A2" s="2" t="s">
        <v>111</v>
      </c>
    </row>
    <row r="4" customFormat="false" ht="46.25" hidden="false" customHeight="false" outlineLevel="0" collapsed="false">
      <c r="A4" s="28" t="s">
        <v>112</v>
      </c>
      <c r="B4" s="2" t="s">
        <v>113</v>
      </c>
      <c r="C4" s="28" t="s">
        <v>114</v>
      </c>
      <c r="D4" s="2" t="s">
        <v>115</v>
      </c>
      <c r="E4" s="28" t="s">
        <v>116</v>
      </c>
      <c r="F4" s="2" t="s">
        <v>117</v>
      </c>
      <c r="G4" s="28" t="s">
        <v>118</v>
      </c>
      <c r="H4" s="2" t="s">
        <v>119</v>
      </c>
    </row>
    <row r="5" customFormat="false" ht="15" hidden="false" customHeight="false" outlineLevel="0" collapsed="false">
      <c r="A5" s="29" t="n">
        <f aca="false">COUNTIF($H$8:$H$37,"Envoyé")+COUNTIF($H$8:$H$37,"Relancé")+COUNTIF($H$8:$H$37,"Conversation")+COUNTIF($H$8:$H$37,"Pilote actif")+COUNTIF($H$8:$H$37,"Refus")+COUNTIF($H$8:$H$37,"Sans réponse")</f>
        <v>0</v>
      </c>
      <c r="C5" s="29" t="n">
        <f aca="false">COUNTIF($H$8:$H$37,"Conversation")+COUNTIF($H$8:$H$37,"Pilote actif")</f>
        <v>0</v>
      </c>
      <c r="E5" s="29" t="n">
        <f aca="false">COUNTIF($H$8:$H$37,"Pilote actif")</f>
        <v>0</v>
      </c>
      <c r="G5" s="29" t="n">
        <f aca="false">COUNTIF($I$8:$I$37,"Oui")</f>
        <v>0</v>
      </c>
    </row>
    <row r="6" customFormat="false" ht="15" hidden="false" customHeight="false" outlineLevel="0" collapsed="false">
      <c r="A6" s="7" t="s">
        <v>120</v>
      </c>
      <c r="B6" s="7" t="s">
        <v>121</v>
      </c>
      <c r="C6" s="7" t="s">
        <v>122</v>
      </c>
      <c r="D6" s="7" t="s">
        <v>123</v>
      </c>
      <c r="E6" s="7" t="s">
        <v>124</v>
      </c>
      <c r="F6" s="7" t="s">
        <v>125</v>
      </c>
      <c r="G6" s="7" t="s">
        <v>126</v>
      </c>
      <c r="H6" s="7" t="s">
        <v>97</v>
      </c>
      <c r="I6" s="7" t="s">
        <v>127</v>
      </c>
      <c r="J6" s="7" t="s">
        <v>128</v>
      </c>
      <c r="K6" s="7" t="s">
        <v>129</v>
      </c>
    </row>
    <row r="7" customFormat="false" ht="23.85" hidden="false" customHeight="false" outlineLevel="0" collapsed="false">
      <c r="A7" s="12" t="s">
        <v>100</v>
      </c>
      <c r="B7" s="12" t="s">
        <v>130</v>
      </c>
      <c r="C7" s="12" t="s">
        <v>131</v>
      </c>
      <c r="D7" s="12" t="s">
        <v>132</v>
      </c>
      <c r="E7" s="12" t="s">
        <v>133</v>
      </c>
      <c r="F7" s="12" t="s">
        <v>134</v>
      </c>
      <c r="G7" s="12" t="s">
        <v>135</v>
      </c>
      <c r="H7" s="12" t="s">
        <v>136</v>
      </c>
      <c r="I7" s="12" t="s">
        <v>137</v>
      </c>
      <c r="J7" s="12" t="s">
        <v>138</v>
      </c>
      <c r="K7" s="12" t="s">
        <v>139</v>
      </c>
    </row>
    <row r="8" customFormat="false" ht="15" hidden="false" customHeight="false" outlineLevel="0" collapsed="false">
      <c r="A8" s="11" t="n">
        <v>1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A9" s="11" t="n">
        <v>2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1" t="n">
        <v>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A11" s="11" t="n">
        <v>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1" t="n">
        <v>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11" t="n">
        <v>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1" t="n">
        <v>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customFormat="false" ht="15" hidden="false" customHeight="false" outlineLevel="0" collapsed="false">
      <c r="A15" s="11" t="n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1" t="n">
        <v>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15" hidden="false" customHeight="false" outlineLevel="0" collapsed="false">
      <c r="A17" s="11" t="n">
        <v>10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1" t="n">
        <v>11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false" outlineLevel="0" collapsed="false">
      <c r="A19" s="11" t="n">
        <v>12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1" t="n">
        <v>13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A21" s="11" t="n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1" t="n">
        <v>15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1" t="n">
        <v>16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1" t="n">
        <v>17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11" t="n">
        <v>18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1" t="n">
        <v>19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15" hidden="false" customHeight="false" outlineLevel="0" collapsed="false">
      <c r="A27" s="11" t="n">
        <v>20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1" t="n">
        <v>21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A29" s="11" t="n">
        <v>22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1" t="n">
        <v>23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customFormat="false" ht="15" hidden="false" customHeight="false" outlineLevel="0" collapsed="false">
      <c r="A31" s="11" t="n">
        <v>24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1" t="n">
        <v>25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15" hidden="false" customHeight="false" outlineLevel="0" collapsed="false">
      <c r="A33" s="11" t="n">
        <v>26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1" t="n">
        <v>27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customFormat="false" ht="15" hidden="false" customHeight="false" outlineLevel="0" collapsed="false">
      <c r="A35" s="11" t="n">
        <v>28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1" t="n">
        <v>29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customFormat="false" ht="15" hidden="false" customHeight="false" outlineLevel="0" collapsed="false">
      <c r="A37" s="11" t="n">
        <v>30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9" customFormat="false" ht="533.55" hidden="false" customHeight="false" outlineLevel="0" collapsed="false">
      <c r="A39" s="2" t="s">
        <v>140</v>
      </c>
    </row>
  </sheetData>
  <dataValidations count="2">
    <dataValidation allowBlank="true" errorStyle="stop" operator="between" showDropDown="false" showErrorMessage="false" showInputMessage="false" sqref="H8:H37" type="list">
      <formula1>"À contacter,Envoyé,Relancé,Conversation,Pilote actif,Refus,Sans réponse"</formula1>
      <formula2>0</formula2>
    </dataValidation>
    <dataValidation allowBlank="true" errorStyle="stop" operator="between" showDropDown="false" showErrorMessage="false" showInputMessage="false" sqref="I8:I37" type="list">
      <formula1>"Oui,Non,?"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6"/>
    <col collapsed="false" customWidth="true" hidden="false" outlineLevel="0" max="3" min="3" style="0" width="8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" t="s">
        <v>141</v>
      </c>
    </row>
    <row r="2" customFormat="false" ht="596.25" hidden="false" customHeight="false" outlineLevel="0" collapsed="false">
      <c r="A2" s="2" t="s">
        <v>142</v>
      </c>
    </row>
    <row r="4" customFormat="false" ht="15" hidden="false" customHeight="false" outlineLevel="0" collapsed="false">
      <c r="A4" s="9" t="s">
        <v>143</v>
      </c>
      <c r="B4" s="10"/>
      <c r="C4" s="10"/>
      <c r="D4" s="10"/>
    </row>
    <row r="5" customFormat="false" ht="15" hidden="false" customHeight="false" outlineLevel="0" collapsed="false">
      <c r="A5" s="7" t="s">
        <v>144</v>
      </c>
      <c r="B5" s="7" t="s">
        <v>145</v>
      </c>
      <c r="C5" s="7" t="s">
        <v>146</v>
      </c>
      <c r="D5" s="7" t="s">
        <v>147</v>
      </c>
    </row>
    <row r="6" customFormat="false" ht="15" hidden="false" customHeight="false" outlineLevel="0" collapsed="false">
      <c r="A6" s="30" t="s">
        <v>148</v>
      </c>
      <c r="B6" s="19" t="s">
        <v>149</v>
      </c>
      <c r="C6" s="31"/>
      <c r="D6" s="17"/>
    </row>
    <row r="7" customFormat="false" ht="23.85" hidden="false" customHeight="false" outlineLevel="0" collapsed="false">
      <c r="A7" s="30" t="s">
        <v>150</v>
      </c>
      <c r="B7" s="19" t="s">
        <v>151</v>
      </c>
      <c r="C7" s="31"/>
      <c r="D7" s="17"/>
    </row>
    <row r="8" customFormat="false" ht="23.85" hidden="false" customHeight="false" outlineLevel="0" collapsed="false">
      <c r="A8" s="30" t="s">
        <v>152</v>
      </c>
      <c r="B8" s="19" t="s">
        <v>153</v>
      </c>
      <c r="C8" s="31"/>
      <c r="D8" s="17"/>
    </row>
    <row r="9" customFormat="false" ht="23.85" hidden="false" customHeight="false" outlineLevel="0" collapsed="false">
      <c r="A9" s="30" t="s">
        <v>154</v>
      </c>
      <c r="B9" s="19" t="s">
        <v>155</v>
      </c>
      <c r="C9" s="31"/>
      <c r="D9" s="17"/>
    </row>
    <row r="10" customFormat="false" ht="23.85" hidden="false" customHeight="false" outlineLevel="0" collapsed="false">
      <c r="A10" s="30" t="s">
        <v>156</v>
      </c>
      <c r="B10" s="19" t="s">
        <v>157</v>
      </c>
      <c r="C10" s="31"/>
      <c r="D10" s="17"/>
    </row>
    <row r="11" customFormat="false" ht="15" hidden="false" customHeight="false" outlineLevel="0" collapsed="false">
      <c r="A11" s="30" t="s">
        <v>158</v>
      </c>
      <c r="B11" s="19" t="s">
        <v>159</v>
      </c>
      <c r="C11" s="31"/>
      <c r="D11" s="17"/>
    </row>
    <row r="12" customFormat="false" ht="23.85" hidden="false" customHeight="false" outlineLevel="0" collapsed="false">
      <c r="A12" s="30" t="s">
        <v>160</v>
      </c>
      <c r="B12" s="19" t="s">
        <v>161</v>
      </c>
      <c r="C12" s="31"/>
      <c r="D12" s="17"/>
    </row>
    <row r="13" customFormat="false" ht="15" hidden="false" customHeight="false" outlineLevel="0" collapsed="false">
      <c r="A13" s="30" t="s">
        <v>162</v>
      </c>
      <c r="B13" s="19" t="s">
        <v>163</v>
      </c>
      <c r="C13" s="31"/>
      <c r="D13" s="17"/>
    </row>
    <row r="15" customFormat="false" ht="15" hidden="false" customHeight="false" outlineLevel="0" collapsed="false">
      <c r="A15" s="9" t="s">
        <v>164</v>
      </c>
      <c r="B15" s="10"/>
      <c r="C15" s="10"/>
      <c r="D15" s="10"/>
    </row>
    <row r="16" customFormat="false" ht="15" hidden="false" customHeight="false" outlineLevel="0" collapsed="false">
      <c r="A16" s="7" t="s">
        <v>144</v>
      </c>
      <c r="B16" s="7" t="s">
        <v>145</v>
      </c>
      <c r="C16" s="7" t="s">
        <v>146</v>
      </c>
      <c r="D16" s="7" t="s">
        <v>147</v>
      </c>
    </row>
    <row r="17" customFormat="false" ht="23.85" hidden="false" customHeight="false" outlineLevel="0" collapsed="false">
      <c r="A17" s="30" t="s">
        <v>165</v>
      </c>
      <c r="B17" s="19" t="s">
        <v>166</v>
      </c>
      <c r="C17" s="31"/>
      <c r="D17" s="17"/>
    </row>
    <row r="18" customFormat="false" ht="15" hidden="false" customHeight="false" outlineLevel="0" collapsed="false">
      <c r="A18" s="30" t="s">
        <v>167</v>
      </c>
      <c r="B18" s="19" t="s">
        <v>168</v>
      </c>
      <c r="C18" s="31"/>
      <c r="D18" s="17"/>
    </row>
    <row r="19" customFormat="false" ht="23.85" hidden="false" customHeight="false" outlineLevel="0" collapsed="false">
      <c r="A19" s="30" t="s">
        <v>169</v>
      </c>
      <c r="B19" s="19" t="s">
        <v>170</v>
      </c>
      <c r="C19" s="31"/>
      <c r="D19" s="17"/>
    </row>
    <row r="20" customFormat="false" ht="15" hidden="false" customHeight="false" outlineLevel="0" collapsed="false">
      <c r="A20" s="30" t="s">
        <v>171</v>
      </c>
      <c r="B20" s="19" t="s">
        <v>172</v>
      </c>
      <c r="C20" s="31"/>
      <c r="D20" s="17"/>
    </row>
    <row r="21" customFormat="false" ht="15" hidden="false" customHeight="false" outlineLevel="0" collapsed="false">
      <c r="A21" s="30" t="s">
        <v>173</v>
      </c>
      <c r="B21" s="19" t="s">
        <v>174</v>
      </c>
      <c r="C21" s="31"/>
      <c r="D21" s="17"/>
    </row>
    <row r="22" customFormat="false" ht="15" hidden="false" customHeight="false" outlineLevel="0" collapsed="false">
      <c r="A22" s="30" t="s">
        <v>175</v>
      </c>
      <c r="B22" s="19" t="s">
        <v>176</v>
      </c>
      <c r="C22" s="31"/>
      <c r="D22" s="17"/>
    </row>
    <row r="23" customFormat="false" ht="23.85" hidden="false" customHeight="false" outlineLevel="0" collapsed="false">
      <c r="A23" s="30" t="s">
        <v>177</v>
      </c>
      <c r="B23" s="19" t="s">
        <v>178</v>
      </c>
      <c r="C23" s="31"/>
      <c r="D23" s="17"/>
    </row>
    <row r="25" customFormat="false" ht="15" hidden="false" customHeight="false" outlineLevel="0" collapsed="false">
      <c r="A25" s="9" t="s">
        <v>179</v>
      </c>
      <c r="B25" s="10"/>
      <c r="C25" s="10"/>
      <c r="D25" s="10"/>
    </row>
    <row r="26" customFormat="false" ht="15" hidden="false" customHeight="false" outlineLevel="0" collapsed="false">
      <c r="A26" s="7" t="s">
        <v>144</v>
      </c>
      <c r="B26" s="7" t="s">
        <v>145</v>
      </c>
      <c r="C26" s="7" t="s">
        <v>146</v>
      </c>
      <c r="D26" s="7" t="s">
        <v>147</v>
      </c>
    </row>
    <row r="27" customFormat="false" ht="15" hidden="false" customHeight="false" outlineLevel="0" collapsed="false">
      <c r="A27" s="30" t="s">
        <v>180</v>
      </c>
      <c r="B27" s="19" t="s">
        <v>181</v>
      </c>
      <c r="C27" s="31"/>
      <c r="D27" s="17"/>
    </row>
    <row r="28" customFormat="false" ht="23.85" hidden="false" customHeight="false" outlineLevel="0" collapsed="false">
      <c r="A28" s="30" t="s">
        <v>182</v>
      </c>
      <c r="B28" s="19" t="s">
        <v>183</v>
      </c>
      <c r="C28" s="31"/>
      <c r="D28" s="17"/>
    </row>
    <row r="29" customFormat="false" ht="23.85" hidden="false" customHeight="false" outlineLevel="0" collapsed="false">
      <c r="A29" s="30" t="s">
        <v>184</v>
      </c>
      <c r="B29" s="19" t="s">
        <v>185</v>
      </c>
      <c r="C29" s="31"/>
      <c r="D29" s="17"/>
    </row>
    <row r="30" customFormat="false" ht="23.85" hidden="false" customHeight="false" outlineLevel="0" collapsed="false">
      <c r="A30" s="30" t="s">
        <v>186</v>
      </c>
      <c r="B30" s="19" t="s">
        <v>187</v>
      </c>
      <c r="C30" s="31"/>
      <c r="D30" s="17"/>
    </row>
    <row r="31" customFormat="false" ht="15" hidden="false" customHeight="false" outlineLevel="0" collapsed="false">
      <c r="A31" s="30" t="s">
        <v>188</v>
      </c>
      <c r="B31" s="19" t="s">
        <v>189</v>
      </c>
      <c r="C31" s="31"/>
      <c r="D31" s="17"/>
    </row>
    <row r="32" customFormat="false" ht="15" hidden="false" customHeight="false" outlineLevel="0" collapsed="false">
      <c r="A32" s="30" t="s">
        <v>190</v>
      </c>
      <c r="B32" s="19" t="s">
        <v>191</v>
      </c>
      <c r="C32" s="31"/>
      <c r="D32" s="17"/>
    </row>
    <row r="34" customFormat="false" ht="15" hidden="false" customHeight="false" outlineLevel="0" collapsed="false">
      <c r="A34" s="9" t="s">
        <v>192</v>
      </c>
      <c r="B34" s="10"/>
      <c r="C34" s="10"/>
      <c r="D34" s="10"/>
    </row>
    <row r="35" customFormat="false" ht="15" hidden="false" customHeight="false" outlineLevel="0" collapsed="false">
      <c r="A35" s="7" t="s">
        <v>144</v>
      </c>
      <c r="B35" s="7" t="s">
        <v>145</v>
      </c>
      <c r="C35" s="7" t="s">
        <v>146</v>
      </c>
      <c r="D35" s="7" t="s">
        <v>147</v>
      </c>
    </row>
    <row r="36" customFormat="false" ht="23.85" hidden="false" customHeight="false" outlineLevel="0" collapsed="false">
      <c r="A36" s="30" t="s">
        <v>193</v>
      </c>
      <c r="B36" s="19" t="s">
        <v>194</v>
      </c>
      <c r="C36" s="31"/>
      <c r="D36" s="17"/>
    </row>
    <row r="37" customFormat="false" ht="15" hidden="false" customHeight="false" outlineLevel="0" collapsed="false">
      <c r="A37" s="30" t="s">
        <v>195</v>
      </c>
      <c r="B37" s="19" t="s">
        <v>196</v>
      </c>
      <c r="C37" s="31"/>
      <c r="D37" s="17"/>
    </row>
    <row r="38" customFormat="false" ht="15" hidden="false" customHeight="false" outlineLevel="0" collapsed="false">
      <c r="A38" s="30" t="s">
        <v>197</v>
      </c>
      <c r="B38" s="19" t="s">
        <v>198</v>
      </c>
      <c r="C38" s="31"/>
      <c r="D38" s="17"/>
    </row>
    <row r="39" customFormat="false" ht="15" hidden="false" customHeight="false" outlineLevel="0" collapsed="false">
      <c r="A39" s="30" t="s">
        <v>199</v>
      </c>
      <c r="B39" s="19" t="s">
        <v>200</v>
      </c>
      <c r="C39" s="31"/>
      <c r="D39" s="17"/>
    </row>
    <row r="40" customFormat="false" ht="15" hidden="false" customHeight="false" outlineLevel="0" collapsed="false">
      <c r="A40" s="30" t="s">
        <v>201</v>
      </c>
      <c r="B40" s="19" t="s">
        <v>202</v>
      </c>
      <c r="C40" s="31"/>
      <c r="D40" s="17"/>
    </row>
    <row r="41" customFormat="false" ht="35.05" hidden="false" customHeight="false" outlineLevel="0" collapsed="false">
      <c r="A41" s="30" t="s">
        <v>203</v>
      </c>
      <c r="B41" s="19" t="s">
        <v>204</v>
      </c>
      <c r="C41" s="31"/>
      <c r="D41" s="17"/>
    </row>
    <row r="42" customFormat="false" ht="15" hidden="false" customHeight="false" outlineLevel="0" collapsed="false">
      <c r="A42" s="30" t="s">
        <v>205</v>
      </c>
      <c r="B42" s="19" t="s">
        <v>206</v>
      </c>
      <c r="C42" s="31"/>
      <c r="D42" s="17"/>
    </row>
    <row r="44" customFormat="false" ht="15" hidden="false" customHeight="false" outlineLevel="0" collapsed="false">
      <c r="A44" s="9" t="s">
        <v>207</v>
      </c>
      <c r="B44" s="10"/>
      <c r="C44" s="10"/>
      <c r="D44" s="10"/>
    </row>
    <row r="45" customFormat="false" ht="15" hidden="false" customHeight="false" outlineLevel="0" collapsed="false">
      <c r="A45" s="7" t="s">
        <v>144</v>
      </c>
      <c r="B45" s="7" t="s">
        <v>145</v>
      </c>
      <c r="C45" s="7" t="s">
        <v>146</v>
      </c>
      <c r="D45" s="7" t="s">
        <v>147</v>
      </c>
    </row>
    <row r="46" customFormat="false" ht="23.85" hidden="false" customHeight="false" outlineLevel="0" collapsed="false">
      <c r="A46" s="30" t="s">
        <v>208</v>
      </c>
      <c r="B46" s="19" t="s">
        <v>209</v>
      </c>
      <c r="C46" s="31"/>
      <c r="D46" s="17"/>
    </row>
    <row r="47" customFormat="false" ht="23.85" hidden="false" customHeight="false" outlineLevel="0" collapsed="false">
      <c r="A47" s="30" t="s">
        <v>210</v>
      </c>
      <c r="B47" s="19" t="s">
        <v>211</v>
      </c>
      <c r="C47" s="31"/>
      <c r="D47" s="17"/>
    </row>
    <row r="48" customFormat="false" ht="15" hidden="false" customHeight="false" outlineLevel="0" collapsed="false">
      <c r="A48" s="30" t="s">
        <v>212</v>
      </c>
      <c r="B48" s="19" t="s">
        <v>213</v>
      </c>
      <c r="C48" s="31"/>
      <c r="D48" s="17"/>
    </row>
    <row r="49" customFormat="false" ht="23.85" hidden="false" customHeight="false" outlineLevel="0" collapsed="false">
      <c r="A49" s="30" t="s">
        <v>214</v>
      </c>
      <c r="B49" s="19" t="s">
        <v>215</v>
      </c>
      <c r="C49" s="31"/>
      <c r="D49" s="17"/>
    </row>
    <row r="50" customFormat="false" ht="23.85" hidden="false" customHeight="false" outlineLevel="0" collapsed="false">
      <c r="A50" s="30" t="s">
        <v>216</v>
      </c>
      <c r="B50" s="19" t="s">
        <v>217</v>
      </c>
      <c r="C50" s="31"/>
      <c r="D50" s="17"/>
    </row>
    <row r="51" customFormat="false" ht="23.85" hidden="false" customHeight="false" outlineLevel="0" collapsed="false">
      <c r="A51" s="30" t="s">
        <v>218</v>
      </c>
      <c r="B51" s="19" t="s">
        <v>219</v>
      </c>
      <c r="C51" s="31"/>
      <c r="D51" s="17"/>
    </row>
    <row r="53" customFormat="false" ht="15" hidden="false" customHeight="false" outlineLevel="0" collapsed="false">
      <c r="A53" s="9" t="s">
        <v>220</v>
      </c>
      <c r="B53" s="10"/>
      <c r="C53" s="10"/>
      <c r="D53" s="10"/>
    </row>
    <row r="54" customFormat="false" ht="15" hidden="false" customHeight="false" outlineLevel="0" collapsed="false">
      <c r="A54" s="7" t="s">
        <v>144</v>
      </c>
      <c r="B54" s="7" t="s">
        <v>145</v>
      </c>
      <c r="C54" s="7" t="s">
        <v>146</v>
      </c>
      <c r="D54" s="7" t="s">
        <v>147</v>
      </c>
    </row>
    <row r="55" customFormat="false" ht="15" hidden="false" customHeight="false" outlineLevel="0" collapsed="false">
      <c r="A55" s="30" t="s">
        <v>221</v>
      </c>
      <c r="B55" s="19" t="s">
        <v>222</v>
      </c>
      <c r="C55" s="31"/>
      <c r="D55" s="17"/>
    </row>
    <row r="56" customFormat="false" ht="15" hidden="false" customHeight="false" outlineLevel="0" collapsed="false">
      <c r="A56" s="30" t="s">
        <v>223</v>
      </c>
      <c r="B56" s="19" t="s">
        <v>224</v>
      </c>
      <c r="C56" s="31"/>
      <c r="D56" s="17"/>
    </row>
    <row r="57" customFormat="false" ht="15" hidden="false" customHeight="false" outlineLevel="0" collapsed="false">
      <c r="A57" s="30" t="s">
        <v>225</v>
      </c>
      <c r="B57" s="19" t="s">
        <v>226</v>
      </c>
      <c r="C57" s="31"/>
      <c r="D57" s="17"/>
    </row>
    <row r="58" customFormat="false" ht="15" hidden="false" customHeight="false" outlineLevel="0" collapsed="false">
      <c r="A58" s="30" t="s">
        <v>227</v>
      </c>
      <c r="B58" s="19" t="s">
        <v>228</v>
      </c>
      <c r="C58" s="31"/>
      <c r="D58" s="17"/>
    </row>
    <row r="59" customFormat="false" ht="15" hidden="false" customHeight="false" outlineLevel="0" collapsed="false">
      <c r="A59" s="30" t="s">
        <v>229</v>
      </c>
      <c r="B59" s="19" t="s">
        <v>230</v>
      </c>
      <c r="C59" s="31"/>
      <c r="D59" s="17"/>
    </row>
    <row r="61" customFormat="false" ht="512.65" hidden="false" customHeight="false" outlineLevel="0" collapsed="false">
      <c r="A61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232</v>
      </c>
    </row>
    <row r="2" customFormat="false" ht="105.95" hidden="false" customHeight="false" outlineLevel="0" collapsed="false">
      <c r="A2" s="2" t="s">
        <v>233</v>
      </c>
    </row>
    <row r="4" customFormat="false" ht="23.85" hidden="false" customHeight="false" outlineLevel="0" collapsed="false">
      <c r="A4" s="7" t="s">
        <v>234</v>
      </c>
      <c r="B4" s="7" t="s">
        <v>235</v>
      </c>
      <c r="C4" s="7" t="s">
        <v>236</v>
      </c>
      <c r="D4" s="7" t="s">
        <v>237</v>
      </c>
      <c r="E4" s="7" t="s">
        <v>238</v>
      </c>
      <c r="F4" s="7" t="s">
        <v>99</v>
      </c>
    </row>
    <row r="5" customFormat="false" ht="15" hidden="false" customHeight="false" outlineLevel="0" collapsed="false">
      <c r="A5" s="32" t="s">
        <v>239</v>
      </c>
      <c r="B5" s="19" t="s">
        <v>240</v>
      </c>
      <c r="C5" s="30" t="s">
        <v>241</v>
      </c>
      <c r="D5" s="17"/>
      <c r="E5" s="17"/>
      <c r="F5" s="17"/>
    </row>
    <row r="6" customFormat="false" ht="15" hidden="false" customHeight="false" outlineLevel="0" collapsed="false">
      <c r="A6" s="32" t="s">
        <v>242</v>
      </c>
      <c r="B6" s="19" t="s">
        <v>243</v>
      </c>
      <c r="C6" s="30" t="s">
        <v>241</v>
      </c>
      <c r="D6" s="17"/>
      <c r="E6" s="17"/>
      <c r="F6" s="17"/>
    </row>
    <row r="7" customFormat="false" ht="23.85" hidden="false" customHeight="false" outlineLevel="0" collapsed="false">
      <c r="A7" s="32" t="s">
        <v>244</v>
      </c>
      <c r="B7" s="19" t="s">
        <v>245</v>
      </c>
      <c r="C7" s="30" t="s">
        <v>241</v>
      </c>
      <c r="D7" s="17"/>
      <c r="E7" s="17"/>
      <c r="F7" s="17"/>
    </row>
    <row r="8" customFormat="false" ht="23.85" hidden="false" customHeight="false" outlineLevel="0" collapsed="false">
      <c r="A8" s="32" t="s">
        <v>246</v>
      </c>
      <c r="B8" s="19" t="s">
        <v>247</v>
      </c>
      <c r="C8" s="30" t="s">
        <v>241</v>
      </c>
      <c r="D8" s="17"/>
      <c r="E8" s="17"/>
      <c r="F8" s="17"/>
    </row>
    <row r="9" customFormat="false" ht="15" hidden="false" customHeight="false" outlineLevel="0" collapsed="false">
      <c r="A9" s="32" t="s">
        <v>248</v>
      </c>
      <c r="B9" s="19" t="s">
        <v>249</v>
      </c>
      <c r="C9" s="30" t="s">
        <v>241</v>
      </c>
      <c r="D9" s="17"/>
      <c r="E9" s="17"/>
      <c r="F9" s="17"/>
    </row>
    <row r="10" customFormat="false" ht="15" hidden="false" customHeight="false" outlineLevel="0" collapsed="false">
      <c r="A10" s="32" t="s">
        <v>250</v>
      </c>
      <c r="B10" s="19" t="s">
        <v>251</v>
      </c>
      <c r="C10" s="30" t="s">
        <v>241</v>
      </c>
      <c r="D10" s="17"/>
      <c r="E10" s="17"/>
      <c r="F10" s="17"/>
    </row>
    <row r="11" customFormat="false" ht="15" hidden="false" customHeight="false" outlineLevel="0" collapsed="false">
      <c r="A11" s="32" t="s">
        <v>252</v>
      </c>
      <c r="B11" s="19" t="s">
        <v>253</v>
      </c>
      <c r="C11" s="30" t="s">
        <v>241</v>
      </c>
      <c r="D11" s="17"/>
      <c r="E11" s="17"/>
      <c r="F11" s="17"/>
    </row>
    <row r="12" customFormat="false" ht="15" hidden="false" customHeight="false" outlineLevel="0" collapsed="false">
      <c r="A12" s="32" t="s">
        <v>254</v>
      </c>
      <c r="B12" s="19" t="s">
        <v>255</v>
      </c>
      <c r="C12" s="30" t="s">
        <v>256</v>
      </c>
      <c r="D12" s="17"/>
      <c r="E12" s="17"/>
      <c r="F12" s="17"/>
    </row>
    <row r="13" customFormat="false" ht="15" hidden="false" customHeight="false" outlineLevel="0" collapsed="false">
      <c r="A13" s="32" t="s">
        <v>257</v>
      </c>
      <c r="B13" s="19" t="s">
        <v>258</v>
      </c>
      <c r="C13" s="30" t="s">
        <v>256</v>
      </c>
      <c r="D13" s="17"/>
      <c r="E13" s="17"/>
      <c r="F13" s="17"/>
    </row>
    <row r="14" customFormat="false" ht="15" hidden="false" customHeight="false" outlineLevel="0" collapsed="false">
      <c r="A14" s="32" t="s">
        <v>259</v>
      </c>
      <c r="B14" s="19" t="s">
        <v>260</v>
      </c>
      <c r="C14" s="30" t="s">
        <v>256</v>
      </c>
      <c r="D14" s="17"/>
      <c r="E14" s="17"/>
      <c r="F14" s="17"/>
    </row>
    <row r="15" customFormat="false" ht="15" hidden="false" customHeight="false" outlineLevel="0" collapsed="false">
      <c r="A15" s="32" t="s">
        <v>261</v>
      </c>
      <c r="B15" s="19" t="s">
        <v>262</v>
      </c>
      <c r="C15" s="30" t="s">
        <v>263</v>
      </c>
      <c r="D15" s="17"/>
      <c r="E15" s="17"/>
      <c r="F15" s="17"/>
    </row>
    <row r="16" customFormat="false" ht="15" hidden="false" customHeight="false" outlineLevel="0" collapsed="false">
      <c r="A16" s="32" t="s">
        <v>264</v>
      </c>
      <c r="B16" s="19" t="s">
        <v>265</v>
      </c>
      <c r="C16" s="30" t="s">
        <v>263</v>
      </c>
      <c r="D16" s="17"/>
      <c r="E16" s="17"/>
      <c r="F16" s="17"/>
    </row>
    <row r="17" customFormat="false" ht="15" hidden="false" customHeight="false" outlineLevel="0" collapsed="false">
      <c r="A17" s="32" t="s">
        <v>266</v>
      </c>
      <c r="B17" s="19" t="s">
        <v>267</v>
      </c>
      <c r="C17" s="30" t="s">
        <v>263</v>
      </c>
      <c r="D17" s="17"/>
      <c r="E17" s="17"/>
      <c r="F17" s="17"/>
    </row>
    <row r="18" customFormat="false" ht="15" hidden="false" customHeight="false" outlineLevel="0" collapsed="false">
      <c r="A18" s="32" t="s">
        <v>268</v>
      </c>
      <c r="B18" s="19" t="s">
        <v>269</v>
      </c>
      <c r="C18" s="30" t="s">
        <v>263</v>
      </c>
      <c r="D18" s="17"/>
      <c r="E18" s="17"/>
      <c r="F18" s="17"/>
    </row>
    <row r="19" customFormat="false" ht="15" hidden="false" customHeight="false" outlineLevel="0" collapsed="false">
      <c r="A19" s="32" t="s">
        <v>270</v>
      </c>
      <c r="B19" s="19" t="s">
        <v>271</v>
      </c>
      <c r="C19" s="30" t="s">
        <v>272</v>
      </c>
      <c r="D19" s="17"/>
      <c r="E19" s="17"/>
      <c r="F19" s="17"/>
    </row>
    <row r="20" customFormat="false" ht="23.85" hidden="false" customHeight="false" outlineLevel="0" collapsed="false">
      <c r="A20" s="12" t="s">
        <v>273</v>
      </c>
      <c r="B20" s="12" t="s">
        <v>274</v>
      </c>
      <c r="C20" s="12" t="s">
        <v>272</v>
      </c>
      <c r="D20" s="12" t="s">
        <v>275</v>
      </c>
      <c r="E20" s="12" t="s">
        <v>276</v>
      </c>
      <c r="F20" s="12" t="s">
        <v>277</v>
      </c>
    </row>
    <row r="22" customFormat="false" ht="15" hidden="false" customHeight="false" outlineLevel="0" collapsed="false">
      <c r="A22" s="4" t="s">
        <v>278</v>
      </c>
    </row>
    <row r="23" customFormat="false" ht="46.25" hidden="false" customHeight="false" outlineLevel="0" collapsed="false">
      <c r="A23" s="33" t="s">
        <v>279</v>
      </c>
    </row>
    <row r="24" customFormat="false" ht="91" hidden="false" customHeight="false" outlineLevel="0" collapsed="false">
      <c r="A24" s="33" t="s">
        <v>280</v>
      </c>
    </row>
    <row r="25" customFormat="false" ht="35.05" hidden="false" customHeight="false" outlineLevel="0" collapsed="false">
      <c r="A25" s="33" t="s">
        <v>281</v>
      </c>
    </row>
    <row r="26" customFormat="false" ht="68.65" hidden="false" customHeight="false" outlineLevel="0" collapsed="false">
      <c r="A26" s="33" t="s">
        <v>282</v>
      </c>
    </row>
    <row r="27" customFormat="false" ht="46.25" hidden="false" customHeight="false" outlineLevel="0" collapsed="false">
      <c r="A27" s="33" t="s">
        <v>283</v>
      </c>
    </row>
  </sheetData>
  <dataValidations count="1">
    <dataValidation allowBlank="true" errorStyle="stop" operator="between" showDropDown="false" showErrorMessage="false" showInputMessage="false" sqref="C5:C20" type="list">
      <formula1>"VITALE,HAUTE,MOYENNE,BASSE"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4"/>
    <col collapsed="false" customWidth="true" hidden="false" outlineLevel="0" max="8" min="3" style="0" width="12"/>
  </cols>
  <sheetData>
    <row r="1" customFormat="false" ht="15" hidden="false" customHeight="false" outlineLevel="0" collapsed="false">
      <c r="A1" s="1" t="s">
        <v>284</v>
      </c>
    </row>
    <row r="2" customFormat="false" ht="43.2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7" t="s">
        <v>286</v>
      </c>
      <c r="B4" s="7" t="s">
        <v>287</v>
      </c>
      <c r="C4" s="34" t="s">
        <v>288</v>
      </c>
      <c r="D4" s="34" t="s">
        <v>288</v>
      </c>
      <c r="E4" s="34" t="s">
        <v>288</v>
      </c>
      <c r="F4" s="34" t="s">
        <v>288</v>
      </c>
      <c r="G4" s="34" t="s">
        <v>288</v>
      </c>
      <c r="H4" s="34" t="s">
        <v>288</v>
      </c>
    </row>
    <row r="5" customFormat="false" ht="23.85" hidden="false" customHeight="false" outlineLevel="0" collapsed="false">
      <c r="A5" s="19" t="s">
        <v>289</v>
      </c>
      <c r="B5" s="35" t="s">
        <v>290</v>
      </c>
      <c r="C5" s="36"/>
      <c r="D5" s="36"/>
      <c r="E5" s="36"/>
      <c r="F5" s="36"/>
      <c r="G5" s="36"/>
      <c r="H5" s="36"/>
    </row>
    <row r="6" customFormat="false" ht="15" hidden="false" customHeight="false" outlineLevel="0" collapsed="false">
      <c r="A6" s="19" t="s">
        <v>291</v>
      </c>
      <c r="B6" s="35" t="s">
        <v>290</v>
      </c>
      <c r="C6" s="36"/>
      <c r="D6" s="36"/>
      <c r="E6" s="36"/>
      <c r="F6" s="36"/>
      <c r="G6" s="36"/>
      <c r="H6" s="36"/>
    </row>
    <row r="7" customFormat="false" ht="15" hidden="false" customHeight="false" outlineLevel="0" collapsed="false">
      <c r="A7" s="19" t="s">
        <v>292</v>
      </c>
      <c r="B7" s="35" t="s">
        <v>290</v>
      </c>
      <c r="C7" s="36"/>
      <c r="D7" s="36"/>
      <c r="E7" s="36"/>
      <c r="F7" s="36"/>
      <c r="G7" s="36"/>
      <c r="H7" s="36"/>
    </row>
    <row r="8" customFormat="false" ht="23.85" hidden="false" customHeight="false" outlineLevel="0" collapsed="false">
      <c r="A8" s="19" t="s">
        <v>293</v>
      </c>
      <c r="B8" s="35" t="s">
        <v>290</v>
      </c>
      <c r="C8" s="36"/>
      <c r="D8" s="36"/>
      <c r="E8" s="36"/>
      <c r="F8" s="36"/>
      <c r="G8" s="36"/>
      <c r="H8" s="36"/>
    </row>
    <row r="9" customFormat="false" ht="23.85" hidden="false" customHeight="false" outlineLevel="0" collapsed="false">
      <c r="A9" s="19" t="s">
        <v>294</v>
      </c>
      <c r="B9" s="35" t="s">
        <v>290</v>
      </c>
      <c r="C9" s="36"/>
      <c r="D9" s="36"/>
      <c r="E9" s="36"/>
      <c r="F9" s="36"/>
      <c r="G9" s="36"/>
      <c r="H9" s="36"/>
    </row>
    <row r="10" customFormat="false" ht="15" hidden="false" customHeight="false" outlineLevel="0" collapsed="false">
      <c r="A10" s="19" t="s">
        <v>295</v>
      </c>
      <c r="B10" s="35" t="s">
        <v>290</v>
      </c>
      <c r="C10" s="36"/>
      <c r="D10" s="36"/>
      <c r="E10" s="36"/>
      <c r="F10" s="36"/>
      <c r="G10" s="36"/>
      <c r="H10" s="36"/>
    </row>
    <row r="11" customFormat="false" ht="15" hidden="false" customHeight="false" outlineLevel="0" collapsed="false">
      <c r="A11" s="19" t="s">
        <v>296</v>
      </c>
      <c r="B11" s="35" t="s">
        <v>290</v>
      </c>
      <c r="C11" s="36"/>
      <c r="D11" s="36"/>
      <c r="E11" s="36"/>
      <c r="F11" s="36"/>
      <c r="G11" s="36"/>
      <c r="H11" s="36"/>
    </row>
    <row r="12" customFormat="false" ht="23.85" hidden="false" customHeight="false" outlineLevel="0" collapsed="false">
      <c r="A12" s="19" t="s">
        <v>297</v>
      </c>
      <c r="B12" s="35" t="s">
        <v>290</v>
      </c>
      <c r="C12" s="36"/>
      <c r="D12" s="36"/>
      <c r="E12" s="36"/>
      <c r="F12" s="36"/>
      <c r="G12" s="36"/>
      <c r="H12" s="36"/>
    </row>
    <row r="13" customFormat="false" ht="15" hidden="false" customHeight="false" outlineLevel="0" collapsed="false">
      <c r="A13" s="19" t="s">
        <v>298</v>
      </c>
      <c r="B13" s="35" t="s">
        <v>290</v>
      </c>
      <c r="C13" s="36"/>
      <c r="D13" s="36"/>
      <c r="E13" s="36"/>
      <c r="F13" s="36"/>
      <c r="G13" s="36"/>
      <c r="H13" s="36"/>
    </row>
    <row r="15" customFormat="false" ht="22.35" hidden="false" customHeight="false" outlineLevel="0" collapsed="false">
      <c r="A15" s="2" t="s">
        <v>299</v>
      </c>
    </row>
  </sheetData>
  <dataValidations count="1">
    <dataValidation allowBlank="true" errorStyle="stop" operator="between" showDropDown="false" showErrorMessage="false" showInputMessage="false" sqref="B5:H13" type="list">
      <formula1>"OK,KO,n/a"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300</v>
      </c>
    </row>
    <row r="2" customFormat="false" ht="283.55" hidden="false" customHeight="false" outlineLevel="0" collapsed="false">
      <c r="A2" s="2" t="s">
        <v>301</v>
      </c>
    </row>
    <row r="4" customFormat="false" ht="23.85" hidden="false" customHeight="false" outlineLevel="0" collapsed="false">
      <c r="A4" s="7" t="s">
        <v>302</v>
      </c>
      <c r="B4" s="7" t="s">
        <v>303</v>
      </c>
      <c r="C4" s="7" t="s">
        <v>304</v>
      </c>
      <c r="D4" s="7" t="s">
        <v>305</v>
      </c>
      <c r="E4" s="7" t="s">
        <v>306</v>
      </c>
      <c r="F4" s="7" t="s">
        <v>307</v>
      </c>
      <c r="G4" s="7" t="s">
        <v>308</v>
      </c>
    </row>
    <row r="5" customFormat="false" ht="15" hidden="false" customHeight="false" outlineLevel="0" collapsed="false">
      <c r="A5" s="12" t="s">
        <v>309</v>
      </c>
      <c r="B5" s="12" t="s">
        <v>261</v>
      </c>
      <c r="C5" s="12" t="s">
        <v>310</v>
      </c>
      <c r="D5" s="12" t="s">
        <v>311</v>
      </c>
      <c r="E5" s="12" t="s">
        <v>312</v>
      </c>
      <c r="F5" s="12" t="s">
        <v>313</v>
      </c>
      <c r="G5" s="12" t="s">
        <v>314</v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</row>
  </sheetData>
  <dataValidations count="1">
    <dataValidation allowBlank="true" errorStyle="stop" operator="between" showDropDown="false" showErrorMessage="false" showInputMessage="false" sqref="E5:F35" type="list">
      <formula1>"Oui,Non,n/a"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2026-07-20T13:28:01Z</dcterms:created>
  <dc:creator>openpyxl</dc:creator>
  <dc:description/>
  <dc:language>en-US</dc:language>
  <cp:lastModifiedBy/>
  <dcterms:modified xsi:type="dcterms:W3CDTF">2026-07-20T13:28:01Z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